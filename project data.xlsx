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nnu\Downloads\"/>
    </mc:Choice>
  </mc:AlternateContent>
  <xr:revisionPtr revIDLastSave="0" documentId="8_{6A80BBBD-3BF2-498B-AD33-352847762E7E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Business_Data" sheetId="1" r:id="rId1"/>
    <sheet name="Region Analysis" sheetId="2" r:id="rId2"/>
    <sheet name="Product Category Analysis" sheetId="3" r:id="rId3"/>
    <sheet name="Customer Segment Analysis" sheetId="4" r:id="rId4"/>
    <sheet name="Monthly Revenue Trend" sheetId="5" r:id="rId5"/>
    <sheet name="Key Insights" sheetId="6" r:id="rId6"/>
  </sheets>
  <calcPr calcId="191029"/>
  <pivotCaches>
    <pivotCache cacheId="0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1" i="1" l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<sst xmlns="http://schemas.openxmlformats.org/spreadsheetml/2006/main" count="690" uniqueCount="77">
  <si>
    <t>Date</t>
  </si>
  <si>
    <t>Region</t>
  </si>
  <si>
    <t>Product_Category</t>
  </si>
  <si>
    <t>Customer_Segment</t>
  </si>
  <si>
    <t>Units_Sold</t>
  </si>
  <si>
    <t>Revenue</t>
  </si>
  <si>
    <t>Cost</t>
  </si>
  <si>
    <t>North</t>
  </si>
  <si>
    <t>Electronics</t>
  </si>
  <si>
    <t>Small Business</t>
  </si>
  <si>
    <t>East</t>
  </si>
  <si>
    <t>Accessories</t>
  </si>
  <si>
    <t>Corporate</t>
  </si>
  <si>
    <t>West</t>
  </si>
  <si>
    <t>South</t>
  </si>
  <si>
    <t>Furniture</t>
  </si>
  <si>
    <t>Consumer</t>
  </si>
  <si>
    <t>Column1</t>
  </si>
  <si>
    <t>Column2</t>
  </si>
  <si>
    <t>Column3</t>
  </si>
  <si>
    <t>Column4</t>
  </si>
  <si>
    <t>Column5</t>
  </si>
  <si>
    <t>Column6</t>
  </si>
  <si>
    <t>Profit</t>
  </si>
  <si>
    <t>Profit Margin</t>
  </si>
  <si>
    <t>Revenue_per_Unit</t>
  </si>
  <si>
    <t>Row Labels</t>
  </si>
  <si>
    <t>Grand Total</t>
  </si>
  <si>
    <t>Sum of Revenue</t>
  </si>
  <si>
    <t>Sum of Profit</t>
  </si>
  <si>
    <t>Sum of Units_Sold</t>
  </si>
  <si>
    <t>Revenue by Customer Segment</t>
  </si>
  <si>
    <t>Revenue Contribution by Product Category</t>
  </si>
  <si>
    <t>Revenue by Region</t>
  </si>
  <si>
    <t>Monthly Revenue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</si>
  <si>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</si>
  <si>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</si>
  <si>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</si>
  <si>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</si>
  <si>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</si>
  <si>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</si>
  <si>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</si>
  <si>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</si>
  <si>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</si>
  <si>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</si>
  <si>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</si>
  <si>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</si>
  <si>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INSIGHTS</t>
  </si>
  <si>
    <t>South has the highest revenue (~15.18M)</t>
  </si>
  <si>
    <t xml:space="preserve">                            INSIGHTS</t>
  </si>
  <si>
    <t>Electronics is the top performing category</t>
  </si>
  <si>
    <t>Corporate customers generate the highest revenue</t>
  </si>
  <si>
    <t>Key observations:</t>
  </si>
  <si>
    <r>
      <t xml:space="preserve">Lowest month → </t>
    </r>
    <r>
      <rPr>
        <b/>
        <sz val="11"/>
        <color theme="1"/>
        <rFont val="Calibri"/>
        <family val="2"/>
        <scheme val="minor"/>
      </rPr>
      <t>September (~2.3M)</t>
    </r>
  </si>
  <si>
    <r>
      <t xml:space="preserve">Highest months → </t>
    </r>
    <r>
      <rPr>
        <b/>
        <sz val="11"/>
        <color theme="1"/>
        <rFont val="Calibri"/>
        <family val="2"/>
        <scheme val="minor"/>
      </rPr>
      <t>October &amp; November (~6.6M)</t>
    </r>
  </si>
  <si>
    <r>
      <t xml:space="preserve">Revenue spikes in </t>
    </r>
    <r>
      <rPr>
        <b/>
        <sz val="11"/>
        <color theme="1"/>
        <rFont val="Calibri"/>
        <family val="2"/>
        <scheme val="minor"/>
      </rPr>
      <t>Q4 (Oct–Nov)</t>
    </r>
  </si>
  <si>
    <t>INSIGHTS :</t>
  </si>
  <si>
    <t>Q4: 4th quarter of the year</t>
  </si>
  <si>
    <t>Key Business Insights</t>
  </si>
  <si>
    <t>1. Regional Performance</t>
  </si>
  <si>
    <t>South region generated the highest revenue (~15.18M) and profit among all regions, indicating strong market demand.</t>
  </si>
  <si>
    <t>2. Product Category Performance</t>
  </si>
  <si>
    <r>
      <t xml:space="preserve">Electronics is the top-performing category with approximately </t>
    </r>
    <r>
      <rPr>
        <b/>
        <sz val="11"/>
        <color theme="1"/>
        <rFont val="Calibri"/>
        <family val="2"/>
        <scheme val="minor"/>
      </rPr>
      <t>21.6M revenue</t>
    </r>
    <r>
      <rPr>
        <sz val="11"/>
        <color theme="1"/>
        <rFont val="Calibri"/>
        <family val="2"/>
        <scheme val="minor"/>
      </rPr>
      <t>, followed by Accessories and Furniture.</t>
    </r>
  </si>
  <si>
    <t>3. Customer Segment Contribution</t>
  </si>
  <si>
    <t>Corporate customers contribute the highest share of revenue (~21.25M), making them the most valuable customer segment.</t>
  </si>
  <si>
    <t>4. Monthly Revenue Trend</t>
  </si>
  <si>
    <r>
      <t xml:space="preserve">Revenue shows strong seasonality, with </t>
    </r>
    <r>
      <rPr>
        <b/>
        <sz val="11"/>
        <color theme="1"/>
        <rFont val="Calibri"/>
        <family val="2"/>
        <scheme val="minor"/>
      </rPr>
      <t>October and November recording the highest sales</t>
    </r>
    <r>
      <rPr>
        <sz val="11"/>
        <color theme="1"/>
        <rFont val="Calibri"/>
        <family val="2"/>
        <scheme val="minor"/>
      </rPr>
      <t xml:space="preserve">, while </t>
    </r>
    <r>
      <rPr>
        <b/>
        <sz val="11"/>
        <color theme="1"/>
        <rFont val="Calibri"/>
        <family val="2"/>
        <scheme val="minor"/>
      </rPr>
      <t>September has the lowest revenue</t>
    </r>
    <r>
      <rPr>
        <sz val="11"/>
        <color theme="1"/>
        <rFont val="Calibri"/>
        <family val="2"/>
        <scheme val="minor"/>
      </rPr>
      <t>.</t>
    </r>
  </si>
  <si>
    <t>5. Profitability Observation</t>
  </si>
  <si>
    <t>Electronics also generates the highest profit, suggesting strong margins and demand in this category.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</si>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</sst>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14" fontId="0" fillId="0" borderId="0" xfId="0" applyNumberFormat="1"/>
    <xf numFmtId="0" fontId="0" fillId="3" borderId="1" xfId="0" applyFill="1" applyBorder="1" applyAlignment="1">
      <alignment horizontal="center"/>
    </xf>
    <xf numFmtId="9" fontId="0" fillId="3" borderId="1" xfId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" xfId="1" applyFon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9" fontId="3" fillId="2" borderId="3" xfId="1" applyFont="1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[Data_Analyst_Assessment_Vennela.xlsx]Region Analysis!PivotTable1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4529</c:v>
                </c:pt>
                <c:pt idx="1">
                  <c:v>5305</c:v>
                </c:pt>
                <c:pt idx="2">
                  <c:v>4965</c:v>
                </c:pt>
                <c:pt idx="3">
                  <c:v>5023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8-41D5-9B97-2E0FCEE44908}"/>
            </c:ext>
          </c:extLst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Analysis'!$C$4:$C$8</c:f>
              <c:numCache>
                <c:formatCode>General</c:formatCode>
                <c:ptCount val="4"/>
                <c:pt idx="0">
                  <c:v>13645621</c:v>
                </c:pt>
                <c:pt idx="1">
                  <c:v>14553584</c:v>
                </c:pt>
                <c:pt idx="2">
                  <c:v>15183789</c:v>
                </c:pt>
                <c:pt idx="3">
                  <c:v>13648326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8-41D5-9B97-2E0FCEE44908}"/>
            </c:ext>
          </c:extLst>
        </c:ser>
        <c:ser>
          <c:idx val="2"/>
          <c:order val="2"/>
          <c:tx>
            <c:strRef>
              <c:f>'Region Analysis'!$D$3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Analysis'!$D$4:$D$8</c:f>
              <c:numCache>
                <c:formatCode>General</c:formatCode>
                <c:ptCount val="4"/>
                <c:pt idx="0">
                  <c:v>3983183.1700000009</c:v>
                </c:pt>
                <c:pt idx="1">
                  <c:v>4891279.120000001</c:v>
                </c:pt>
                <c:pt idx="2">
                  <c:v>5309366.8199999994</c:v>
                </c:pt>
                <c:pt idx="3">
                  <c:v>4270128.4499999993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D8-41D5-9B97-2E0FCEE44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7344"/>
        <c:axId val="18365424"/>
      </c:barChart>
      <c:catAx>
        <c:axId val="1836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424"/>
        <c:crosses val="autoZero"/>
        <c:auto val="1"/>
        <c:lblAlgn val="ctr"/>
        <c:lblOffset val="100"/>
        <c:noMultiLvlLbl val="0"/>
      </c:catAx>
      <c:valAx>
        <c:axId val="183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[Data_Analyst_Assessment_Vennela.xlsx]Product Category Analysis!PivotTable2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1"/>
          <c:order val="1"/>
          <c:tx>
            <c:strRef>
              <c:f>'Product Category Analysis'!$C$3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D1-4397-AFB8-A90ADB9F90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D1-4397-AFB8-A90ADB9F90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D1-4397-AFB8-A90ADB9F90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D1-4397-AFB8-A90ADB9F90EA}"/>
              </c:ext>
            </c:extLst>
          </c:dPt>
          <c:cat>
            <c:strRef>
              <c:f>'Product Category Analysis'!$A$4:$A$7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'Product Category Analysis'!$C$4:$C$7</c:f>
              <c:numCache>
                <c:formatCode>General</c:formatCode>
                <c:ptCount val="3"/>
                <c:pt idx="0">
                  <c:v>6260650.2399999974</c:v>
                </c:pt>
                <c:pt idx="1">
                  <c:v>6851416.2000000011</c:v>
                </c:pt>
                <c:pt idx="2">
                  <c:v>5341891.1199999992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D-410B-B18F-B4BF07FE757E}"/>
            </c:ext>
          </c:extLst>
        </c:ser>
        <c:ser>
          <c:idx val="2"/>
          <c:order val="2"/>
          <c:tx>
            <c:strRef>
              <c:f>'Product Category Analysis'!$D$3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D1-4397-AFB8-A90ADB9F90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D1-4397-AFB8-A90ADB9F90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7D1-4397-AFB8-A90ADB9F90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7D1-4397-AFB8-A90ADB9F90EA}"/>
              </c:ext>
            </c:extLst>
          </c:dPt>
          <c:cat>
            <c:strRef>
              <c:f>'Product Category Analysis'!$A$4:$A$7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'Product Category Analysis'!$D$4:$D$7</c:f>
              <c:numCache>
                <c:formatCode>General</c:formatCode>
                <c:ptCount val="3"/>
                <c:pt idx="0">
                  <c:v>19134558</c:v>
                </c:pt>
                <c:pt idx="1">
                  <c:v>21596324</c:v>
                </c:pt>
                <c:pt idx="2">
                  <c:v>16300438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4D-410B-B18F-B4BF07FE757E}"/>
            </c:ext>
          </c:extLst>
        </c:ser>
        <c:ser>
          <c:idx val="0"/>
          <c:order val="0"/>
          <c:tx>
            <c:strRef>
              <c:f>'Product Category Analysis'!$B$3</c:f>
              <c:strCache>
                <c:ptCount val="1"/>
                <c:pt idx="0">
                  <c:v>Sum of Units_Sold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7D1-4397-AFB8-A90ADB9F90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7D1-4397-AFB8-A90ADB9F90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7D1-4397-AFB8-A90ADB9F90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7D1-4397-AFB8-A90ADB9F90EA}"/>
              </c:ext>
            </c:extLst>
          </c:dPt>
          <c:cat>
            <c:strRef>
              <c:f>'Product Category Analysis'!$A$4:$A$7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'Product Category Analysis'!$B$4:$B$7</c:f>
              <c:numCache>
                <c:formatCode>General</c:formatCode>
                <c:ptCount val="3"/>
                <c:pt idx="0">
                  <c:v>6506</c:v>
                </c:pt>
                <c:pt idx="1">
                  <c:v>6977</c:v>
                </c:pt>
                <c:pt idx="2">
                  <c:v>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D-410B-B18F-B4BF07FE7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[Data_Analyst_Assessment_Vennela.xlsx]Customer Segment Analysis!PivotTable3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Segment Analysis'!$B$3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'Customer Segment Analysis'!$B$4:$B$7</c:f>
              <c:numCache>
                <c:formatCode>General</c:formatCode>
                <c:ptCount val="3"/>
                <c:pt idx="0">
                  <c:v>16576110</c:v>
                </c:pt>
                <c:pt idx="1">
                  <c:v>21259177</c:v>
                </c:pt>
                <c:pt idx="2">
                  <c:v>19196033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D-495A-BA50-D7EA558649D3}"/>
            </c:ext>
          </c:extLst>
        </c:ser>
        <c:ser>
          <c:idx val="1"/>
          <c:order val="1"/>
          <c:tx>
            <c:strRef>
              <c:f>'Customer Segment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'Customer Segment Analysis'!$C$4:$C$7</c:f>
              <c:numCache>
                <c:formatCode>General</c:formatCode>
                <c:ptCount val="3"/>
                <c:pt idx="0">
                  <c:v>5821989.4899999984</c:v>
                </c:pt>
                <c:pt idx="1">
                  <c:v>6697201.5899999999</c:v>
                </c:pt>
                <c:pt idx="2">
                  <c:v>5934766.4799999995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5D-495A-BA50-D7EA55864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8598655"/>
        <c:axId val="1248599135"/>
      </c:barChart>
      <c:catAx>
        <c:axId val="124859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99135"/>
        <c:crosses val="autoZero"/>
        <c:auto val="1"/>
        <c:lblAlgn val="ctr"/>
        <c:lblOffset val="100"/>
        <c:noMultiLvlLbl val="0"/>
      </c:catAx>
      <c:valAx>
        <c:axId val="124859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9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[Data_Analyst_Assessment_Vennela.xlsx]Monthly Revenue Trend!PivotTable4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 Trend'!$B$4:$B$16</c:f>
              <c:numCache>
                <c:formatCode>General</c:formatCode>
                <c:ptCount val="12"/>
                <c:pt idx="0">
                  <c:v>5702801</c:v>
                </c:pt>
                <c:pt idx="1">
                  <c:v>5823253</c:v>
                </c:pt>
                <c:pt idx="2">
                  <c:v>2712858</c:v>
                </c:pt>
                <c:pt idx="3">
                  <c:v>4769531</c:v>
                </c:pt>
                <c:pt idx="4">
                  <c:v>5889054</c:v>
                </c:pt>
                <c:pt idx="5">
                  <c:v>4085992</c:v>
                </c:pt>
                <c:pt idx="6">
                  <c:v>3385036</c:v>
                </c:pt>
                <c:pt idx="7">
                  <c:v>4278154</c:v>
                </c:pt>
                <c:pt idx="8">
                  <c:v>2328754</c:v>
                </c:pt>
                <c:pt idx="9">
                  <c:v>6660146</c:v>
                </c:pt>
                <c:pt idx="10">
                  <c:v>6689451</c:v>
                </c:pt>
                <c:pt idx="11">
                  <c:v>4706290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9B-4E4F-8708-1EFFE7C5A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949264"/>
        <c:axId val="614966064"/>
      </c:lineChart>
      <c:catAx>
        <c:axId val="6149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66064"/>
        <c:crosses val="autoZero"/>
        <c:auto val="1"/>
        <c:lblAlgn val="ctr"/>
        <c:lblOffset val="100"/>
        <c:noMultiLvlLbl val="0"/>
      </c:catAx>
      <c:valAx>
        <c:axId val="61496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4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393700</xdr:colOff>
      <xdr:row>1</xdr:row>
      <xdr:rowOff>165100</xdr:rowOff>
    </xdr:from>
    <xdr:to>
      <xdr:col>12</xdr:col>
      <xdr:colOff>88900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6A224E-4D0C-CDE9-E97B-5B0A7AC07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2</xdr:row>
      <xdr:rowOff>19050</xdr:rowOff>
    </xdr:from>
    <xdr:to>
      <xdr:col>10</xdr:col>
      <xdr:colOff>361950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BD7517-EE2D-7AB2-80B4-060B1F61F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260350</xdr:colOff>
      <xdr:row>1</xdr:row>
      <xdr:rowOff>12700</xdr:rowOff>
    </xdr:from>
    <xdr:to>
      <xdr:col>11</xdr:col>
      <xdr:colOff>565150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4D197B-203E-3934-4B26-CAF103041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488950</xdr:colOff>
      <xdr:row>3</xdr:row>
      <xdr:rowOff>6350</xdr:rowOff>
    </xdr:from>
    <xdr:to>
      <xdr:col>10</xdr:col>
      <xdr:colOff>184150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C7202-03E0-F848-4884-685412EA7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dithyavath Vennela" refreshedDate="46088.881401388891" createdVersion="8" refreshedVersion="8" minRefreshableVersion="3" recordCount="200" xr:uid="{B616970E-429C-44E7-845D-B9884EAFDA9E}">
  <cacheSource type="worksheet">
    <worksheetSource ref="A1:J201" sheet="Business_Data"/>
  </cacheSource>
  <cacheFields count="11">
    <cacheField name="Date" numFmtId="14">
      <sharedItems containsSemiMixedTypes="0" containsNonDate="0" containsDate="1" containsString="0" minDate="2024-01-02T00:00:00" maxDate="2025-01-01T00:00:00" count="149">
        <d v="2024-09-16T00:00:00"/>
        <d v="2024-10-12T00:00:00"/>
        <d v="2024-08-28T00:00:00"/>
        <d v="2024-04-15T00:00:00"/>
        <d v="2024-05-29T00:00:00"/>
        <d v="2024-02-01T00:00:00"/>
        <d v="2024-09-26T00:00:00"/>
        <d v="2024-01-10T00:00:00"/>
        <d v="2024-10-26T00:00:00"/>
        <d v="2024-02-11T00:00:00"/>
        <d v="2024-01-30T00:00:00"/>
        <d v="2024-10-10T00:00:00"/>
        <d v="2024-01-14T00:00:00"/>
        <d v="2024-01-12T00:00:00"/>
        <d v="2024-04-04T00:00:00"/>
        <d v="2024-08-12T00:00:00"/>
        <d v="2024-11-29T00:00:00"/>
        <d v="2024-04-22T00:00:00"/>
        <d v="2024-05-03T00:00:00"/>
        <d v="2024-03-12T00:00:00"/>
        <d v="2024-10-22T00:00:00"/>
        <d v="2024-06-26T00:00:00"/>
        <d v="2024-03-10T00:00:00"/>
        <d v="2024-12-14T00:00:00"/>
        <d v="2024-11-20T00:00:00"/>
        <d v="2024-10-19T00:00:00"/>
        <d v="2024-12-21T00:00:00"/>
        <d v="2024-10-03T00:00:00"/>
        <d v="2024-10-31T00:00:00"/>
        <d v="2024-02-03T00:00:00"/>
        <d v="2024-10-06T00:00:00"/>
        <d v="2024-11-08T00:00:00"/>
        <d v="2024-07-19T00:00:00"/>
        <d v="2024-01-09T00:00:00"/>
        <d v="2024-11-23T00:00:00"/>
        <d v="2024-05-11T00:00:00"/>
        <d v="2024-07-25T00:00:00"/>
        <d v="2024-12-20T00:00:00"/>
        <d v="2024-10-18T00:00:00"/>
        <d v="2024-05-06T00:00:00"/>
        <d v="2024-08-06T00:00:00"/>
        <d v="2024-06-24T00:00:00"/>
        <d v="2024-09-21T00:00:00"/>
        <d v="2024-06-04T00:00:00"/>
        <d v="2024-07-02T00:00:00"/>
        <d v="2024-08-08T00:00:00"/>
        <d v="2024-04-18T00:00:00"/>
        <d v="2024-02-06T00:00:00"/>
        <d v="2024-10-23T00:00:00"/>
        <d v="2024-07-27T00:00:00"/>
        <d v="2024-07-10T00:00:00"/>
        <d v="2024-11-13T00:00:00"/>
        <d v="2024-06-23T00:00:00"/>
        <d v="2024-05-18T00:00:00"/>
        <d v="2024-04-26T00:00:00"/>
        <d v="2024-12-17T00:00:00"/>
        <d v="2024-05-04T00:00:00"/>
        <d v="2024-12-12T00:00:00"/>
        <d v="2024-05-21T00:00:00"/>
        <d v="2024-02-20T00:00:00"/>
        <d v="2024-11-05T00:00:00"/>
        <d v="2024-02-14T00:00:00"/>
        <d v="2024-08-22T00:00:00"/>
        <d v="2024-12-23T00:00:00"/>
        <d v="2024-01-26T00:00:00"/>
        <d v="2024-10-04T00:00:00"/>
        <d v="2024-11-16T00:00:00"/>
        <d v="2024-08-16T00:00:00"/>
        <d v="2024-12-31T00:00:00"/>
        <d v="2024-07-15T00:00:00"/>
        <d v="2024-05-27T00:00:00"/>
        <d v="2024-11-12T00:00:00"/>
        <d v="2024-02-13T00:00:00"/>
        <d v="2024-02-23T00:00:00"/>
        <d v="2024-07-31T00:00:00"/>
        <d v="2024-07-13T00:00:00"/>
        <d v="2024-06-12T00:00:00"/>
        <d v="2024-03-21T00:00:00"/>
        <d v="2024-07-18T00:00:00"/>
        <d v="2024-10-21T00:00:00"/>
        <d v="2024-12-01T00:00:00"/>
        <d v="2024-09-04T00:00:00"/>
        <d v="2024-06-11T00:00:00"/>
        <d v="2024-12-02T00:00:00"/>
        <d v="2024-05-22T00:00:00"/>
        <d v="2024-04-19T00:00:00"/>
        <d v="2024-04-13T00:00:00"/>
        <d v="2024-03-03T00:00:00"/>
        <d v="2024-11-04T00:00:00"/>
        <d v="2024-12-05T00:00:00"/>
        <d v="2024-04-01T00:00:00"/>
        <d v="2024-10-30T00:00:00"/>
        <d v="2024-02-17T00:00:00"/>
        <d v="2024-10-11T00:00:00"/>
        <d v="2024-05-17T00:00:00"/>
        <d v="2024-09-28T00:00:00"/>
        <d v="2024-12-11T00:00:00"/>
        <d v="2024-09-30T00:00:00"/>
        <d v="2024-01-06T00:00:00"/>
        <d v="2024-05-05T00:00:00"/>
        <d v="2024-04-20T00:00:00"/>
        <d v="2024-09-25T00:00:00"/>
        <d v="2024-06-15T00:00:00"/>
        <d v="2024-08-15T00:00:00"/>
        <d v="2024-11-18T00:00:00"/>
        <d v="2024-01-08T00:00:00"/>
        <d v="2024-05-24T00:00:00"/>
        <d v="2024-03-29T00:00:00"/>
        <d v="2024-08-23T00:00:00"/>
        <d v="2024-02-16T00:00:00"/>
        <d v="2024-03-04T00:00:00"/>
        <d v="2024-04-05T00:00:00"/>
        <d v="2024-10-14T00:00:00"/>
        <d v="2024-07-01T00:00:00"/>
        <d v="2024-09-13T00:00:00"/>
        <d v="2024-01-04T00:00:00"/>
        <d v="2024-05-12T00:00:00"/>
        <d v="2024-03-26T00:00:00"/>
        <d v="2024-08-07T00:00:00"/>
        <d v="2024-12-30T00:00:00"/>
        <d v="2024-11-02T00:00:00"/>
        <d v="2024-03-16T00:00:00"/>
        <d v="2024-03-07T00:00:00"/>
        <d v="2024-08-14T00:00:00"/>
        <d v="2024-08-26T00:00:00"/>
        <d v="2024-04-24T00:00:00"/>
        <d v="2024-02-24T00:00:00"/>
        <d v="2024-06-13T00:00:00"/>
        <d v="2024-11-14T00:00:00"/>
        <d v="2024-10-07T00:00:00"/>
        <d v="2024-01-02T00:00:00"/>
        <d v="2024-02-28T00:00:00"/>
        <d v="2024-01-19T00:00:00"/>
        <d v="2024-01-17T00:00:00"/>
        <d v="2024-04-03T00:00:00"/>
        <d v="2024-11-10T00:00:00"/>
        <d v="2024-06-02T00:00:00"/>
        <d v="2024-09-15T00:00:00"/>
        <d v="2024-09-17T00:00:00"/>
        <d v="2024-01-22T00:00:00"/>
        <d v="2024-09-07T00:00:00"/>
        <d v="2024-10-15T00:00:00"/>
        <d v="2024-01-18T00:00:00"/>
        <d v="2024-04-17T00:00:00"/>
        <d v="2024-07-29T00:00:00"/>
        <d v="2024-07-16T00:00:00"/>
        <d v="2024-11-19T00:00:00"/>
        <d v="2024-09-08T00:00:00"/>
        <d v="2024-06-19T00:00:00"/>
      </sharedItems>
      <fieldGroup par="10"/>
    </cacheField>
    <cacheField name="Region" numFmtId="0">
      <sharedItems count="4">
        <s v="North"/>
        <s v="East"/>
        <s v="West"/>
        <s v="South"/>
      </sharedItems>
    </cacheField>
    <cacheField name="Product_Category" numFmtId="0">
      <sharedItems count="3">
        <s v="Electronics"/>
        <s v="Accessories"/>
        <s v="Furniture"/>
      </sharedItems>
    </cacheField>
    <cacheField name="Customer_Segment" numFmtId="0">
      <sharedItems count="3">
        <s v="Small Business"/>
        <s v="Corporate"/>
        <s v="Consumer"/>
      </sharedItems>
    </cacheField>
    <cacheField name="Units_Sold" numFmtId="0">
      <sharedItems containsSemiMixedTypes="0" containsString="0" containsNumber="1" containsInteger="1" minValue="5" maxValue="200"/>
    </cacheField>
    <cacheField name="Revenue" numFmtId="0">
      <sharedItems containsSemiMixedTypes="0" containsString="0" containsNumber="1" containsInteger="1" minValue="5135" maxValue="996800"/>
    </cacheField>
    <cacheField name="Cost" numFmtId="0">
      <sharedItems containsSemiMixedTypes="0" containsString="0" containsNumber="1" minValue="2737.78" maxValue="725670.87"/>
    </cacheField>
    <cacheField name="Profit" numFmtId="0">
      <sharedItems containsSemiMixedTypes="0" containsString="0" containsNumber="1" minValue="1529.9099999999999" maxValue="390923.49"/>
    </cacheField>
    <cacheField name="Profit Margin" numFmtId="9">
      <sharedItems containsSemiMixedTypes="0" containsString="0" containsNumber="1" minValue="0.15392494591931341" maxValue="0.49612856552294338"/>
    </cacheField>
    <cacheField name="Revenue_per_Unit" numFmtId="0">
      <sharedItems containsSemiMixedTypes="0" containsString="0" containsNumber="1" containsInteger="1" minValue="531" maxValue="4984"/>
    </cacheField>
    <cacheField name="Months (Date)" numFmtId="0" databaseField="0">
      <fieldGroup base="0">
        <rangePr groupBy="months" startDate="2024-01-02T00:00:00" endDate="2025-01-01T00:00:00"/>
        <groupItems count="14">
          <s v="&lt;02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n v="13"/>
    <n v="56212"/>
    <n v="30537.15"/>
    <n v="25674.85"/>
    <n v="0.45675033800611964"/>
    <n v="4324"/>
  </r>
  <r>
    <x v="1"/>
    <x v="1"/>
    <x v="1"/>
    <x v="1"/>
    <n v="96"/>
    <n v="58176"/>
    <n v="32401.66"/>
    <n v="25774.34"/>
    <n v="0.44304077282728271"/>
    <n v="606"/>
  </r>
  <r>
    <x v="2"/>
    <x v="2"/>
    <x v="0"/>
    <x v="1"/>
    <n v="135"/>
    <n v="495720"/>
    <n v="293744.19"/>
    <n v="201975.81"/>
    <n v="0.40743930041152265"/>
    <n v="3672"/>
  </r>
  <r>
    <x v="3"/>
    <x v="3"/>
    <x v="2"/>
    <x v="0"/>
    <n v="17"/>
    <n v="43265"/>
    <n v="31823.759999999998"/>
    <n v="11441.240000000002"/>
    <n v="0.26444562579452219"/>
    <n v="2545"/>
  </r>
  <r>
    <x v="4"/>
    <x v="0"/>
    <x v="2"/>
    <x v="2"/>
    <n v="170"/>
    <n v="722670"/>
    <n v="512630.04"/>
    <n v="210039.96000000002"/>
    <n v="0.29064436049649223"/>
    <n v="4251"/>
  </r>
  <r>
    <x v="5"/>
    <x v="2"/>
    <x v="0"/>
    <x v="1"/>
    <n v="165"/>
    <n v="760980"/>
    <n v="576624.17000000004"/>
    <n v="184355.82999999996"/>
    <n v="0.24226107125022991"/>
    <n v="4612"/>
  </r>
  <r>
    <x v="6"/>
    <x v="1"/>
    <x v="2"/>
    <x v="1"/>
    <n v="191"/>
    <n v="788639"/>
    <n v="666249.47"/>
    <n v="122389.53000000003"/>
    <n v="0.15519081607681084"/>
    <n v="4129"/>
  </r>
  <r>
    <x v="7"/>
    <x v="1"/>
    <x v="0"/>
    <x v="0"/>
    <n v="74"/>
    <n v="211862"/>
    <n v="125269.56"/>
    <n v="86592.44"/>
    <n v="0.40872095987010415"/>
    <n v="2863"/>
  </r>
  <r>
    <x v="8"/>
    <x v="2"/>
    <x v="0"/>
    <x v="2"/>
    <n v="46"/>
    <n v="216522"/>
    <n v="140557.47"/>
    <n v="75964.53"/>
    <n v="0.35083977609665529"/>
    <n v="4707"/>
  </r>
  <r>
    <x v="9"/>
    <x v="3"/>
    <x v="0"/>
    <x v="2"/>
    <n v="157"/>
    <n v="647468"/>
    <n v="386079.85"/>
    <n v="261388.15000000002"/>
    <n v="0.40370821415112412"/>
    <n v="4124"/>
  </r>
  <r>
    <x v="10"/>
    <x v="1"/>
    <x v="2"/>
    <x v="1"/>
    <n v="69"/>
    <n v="87837"/>
    <n v="70487.100000000006"/>
    <n v="17349.899999999994"/>
    <n v="0.19752382253492257"/>
    <n v="1273"/>
  </r>
  <r>
    <x v="11"/>
    <x v="0"/>
    <x v="1"/>
    <x v="1"/>
    <n v="118"/>
    <n v="122720"/>
    <n v="66758.11"/>
    <n v="55961.89"/>
    <n v="0.45601279335071709"/>
    <n v="1040"/>
  </r>
  <r>
    <x v="12"/>
    <x v="3"/>
    <x v="0"/>
    <x v="0"/>
    <n v="122"/>
    <n v="474092"/>
    <n v="283054.96000000002"/>
    <n v="191037.03999999998"/>
    <n v="0.40295351957004122"/>
    <n v="3886"/>
  </r>
  <r>
    <x v="13"/>
    <x v="3"/>
    <x v="2"/>
    <x v="1"/>
    <n v="81"/>
    <n v="217485"/>
    <n v="124775.21"/>
    <n v="92709.79"/>
    <n v="0.42628130675678777"/>
    <n v="2685"/>
  </r>
  <r>
    <x v="14"/>
    <x v="2"/>
    <x v="2"/>
    <x v="1"/>
    <n v="102"/>
    <n v="105468"/>
    <n v="88704.14"/>
    <n v="16763.86"/>
    <n v="0.15894735844047483"/>
    <n v="1034"/>
  </r>
  <r>
    <x v="15"/>
    <x v="3"/>
    <x v="1"/>
    <x v="0"/>
    <n v="125"/>
    <n v="496250"/>
    <n v="285372.28999999998"/>
    <n v="210877.71000000002"/>
    <n v="0.42494248866498746"/>
    <n v="3970"/>
  </r>
  <r>
    <x v="16"/>
    <x v="1"/>
    <x v="0"/>
    <x v="2"/>
    <n v="12"/>
    <n v="21672"/>
    <n v="16983.900000000001"/>
    <n v="4688.0999999999985"/>
    <n v="0.21632059800664444"/>
    <n v="1806"/>
  </r>
  <r>
    <x v="17"/>
    <x v="0"/>
    <x v="2"/>
    <x v="0"/>
    <n v="44"/>
    <n v="78100"/>
    <n v="42974.62"/>
    <n v="35125.379999999997"/>
    <n v="0.44974878361075543"/>
    <n v="1775"/>
  </r>
  <r>
    <x v="18"/>
    <x v="1"/>
    <x v="0"/>
    <x v="2"/>
    <n v="42"/>
    <n v="135366"/>
    <n v="105428.22"/>
    <n v="29937.78"/>
    <n v="0.22116173928460617"/>
    <n v="3223"/>
  </r>
  <r>
    <x v="19"/>
    <x v="2"/>
    <x v="1"/>
    <x v="2"/>
    <n v="46"/>
    <n v="87998"/>
    <n v="54287.63"/>
    <n v="33710.370000000003"/>
    <n v="0.38308109275210805"/>
    <n v="1913"/>
  </r>
  <r>
    <x v="20"/>
    <x v="0"/>
    <x v="1"/>
    <x v="1"/>
    <n v="12"/>
    <n v="25176"/>
    <n v="16036.73"/>
    <n v="9139.27"/>
    <n v="0.36301517318080712"/>
    <n v="2098"/>
  </r>
  <r>
    <x v="21"/>
    <x v="3"/>
    <x v="0"/>
    <x v="2"/>
    <n v="18"/>
    <n v="69246"/>
    <n v="56291.46"/>
    <n v="12954.54"/>
    <n v="0.18707997573867083"/>
    <n v="3847"/>
  </r>
  <r>
    <x v="22"/>
    <x v="0"/>
    <x v="1"/>
    <x v="1"/>
    <n v="174"/>
    <n v="401940"/>
    <n v="213362.34"/>
    <n v="188577.66"/>
    <n v="0.46916868189281985"/>
    <n v="2310"/>
  </r>
  <r>
    <x v="23"/>
    <x v="2"/>
    <x v="1"/>
    <x v="1"/>
    <n v="79"/>
    <n v="77420"/>
    <n v="45141.89"/>
    <n v="32278.11"/>
    <n v="0.41692211314905708"/>
    <n v="980"/>
  </r>
  <r>
    <x v="24"/>
    <x v="0"/>
    <x v="1"/>
    <x v="0"/>
    <n v="122"/>
    <n v="376858"/>
    <n v="220742.73"/>
    <n v="156115.26999999999"/>
    <n v="0.41425489176294517"/>
    <n v="3089"/>
  </r>
  <r>
    <x v="25"/>
    <x v="3"/>
    <x v="1"/>
    <x v="0"/>
    <n v="180"/>
    <n v="829620"/>
    <n v="451263.62"/>
    <n v="378356.38"/>
    <n v="0.45605985873050314"/>
    <n v="4609"/>
  </r>
  <r>
    <x v="16"/>
    <x v="3"/>
    <x v="2"/>
    <x v="2"/>
    <n v="120"/>
    <n v="585120"/>
    <n v="355250.59"/>
    <n v="229869.40999999997"/>
    <n v="0.39285857601859442"/>
    <n v="4876"/>
  </r>
  <r>
    <x v="26"/>
    <x v="3"/>
    <x v="0"/>
    <x v="2"/>
    <n v="127"/>
    <n v="267081"/>
    <n v="171722.65"/>
    <n v="95358.35"/>
    <n v="0.3570390630557771"/>
    <n v="2103"/>
  </r>
  <r>
    <x v="27"/>
    <x v="2"/>
    <x v="0"/>
    <x v="2"/>
    <n v="98"/>
    <n v="466088"/>
    <n v="356543.9"/>
    <n v="109544.09999999998"/>
    <n v="0.23502879284598613"/>
    <n v="4756"/>
  </r>
  <r>
    <x v="28"/>
    <x v="2"/>
    <x v="0"/>
    <x v="0"/>
    <n v="76"/>
    <n v="165148"/>
    <n v="111893.29"/>
    <n v="53254.710000000006"/>
    <n v="0.32246657543536711"/>
    <n v="2173"/>
  </r>
  <r>
    <x v="29"/>
    <x v="3"/>
    <x v="0"/>
    <x v="2"/>
    <n v="183"/>
    <n v="898347"/>
    <n v="725670.87"/>
    <n v="172676.13"/>
    <n v="0.19221540228887057"/>
    <n v="4909"/>
  </r>
  <r>
    <x v="30"/>
    <x v="2"/>
    <x v="1"/>
    <x v="0"/>
    <n v="84"/>
    <n v="348600"/>
    <n v="288359.76"/>
    <n v="60240.239999999991"/>
    <n v="0.17280619621342511"/>
    <n v="4150"/>
  </r>
  <r>
    <x v="31"/>
    <x v="3"/>
    <x v="2"/>
    <x v="0"/>
    <n v="200"/>
    <n v="196200"/>
    <n v="112790.93"/>
    <n v="83409.070000000007"/>
    <n v="0.42512268093781858"/>
    <n v="981"/>
  </r>
  <r>
    <x v="27"/>
    <x v="3"/>
    <x v="2"/>
    <x v="1"/>
    <n v="54"/>
    <n v="230364"/>
    <n v="138151.72"/>
    <n v="92212.28"/>
    <n v="0.40028945494955809"/>
    <n v="4266"/>
  </r>
  <r>
    <x v="32"/>
    <x v="1"/>
    <x v="1"/>
    <x v="0"/>
    <n v="23"/>
    <n v="78522"/>
    <n v="47322.48"/>
    <n v="31199.519999999997"/>
    <n v="0.39733475968518372"/>
    <n v="3414"/>
  </r>
  <r>
    <x v="5"/>
    <x v="2"/>
    <x v="2"/>
    <x v="0"/>
    <n v="23"/>
    <n v="108997"/>
    <n v="81357.42"/>
    <n v="27639.58"/>
    <n v="0.25358110773691023"/>
    <n v="4739"/>
  </r>
  <r>
    <x v="33"/>
    <x v="1"/>
    <x v="2"/>
    <x v="0"/>
    <n v="35"/>
    <n v="54040"/>
    <n v="45300.6"/>
    <n v="8739.4000000000015"/>
    <n v="0.16172094744633608"/>
    <n v="1544"/>
  </r>
  <r>
    <x v="12"/>
    <x v="2"/>
    <x v="1"/>
    <x v="1"/>
    <n v="139"/>
    <n v="443966"/>
    <n v="348085.59"/>
    <n v="95880.409999999974"/>
    <n v="0.21596340710775144"/>
    <n v="3194"/>
  </r>
  <r>
    <x v="34"/>
    <x v="2"/>
    <x v="2"/>
    <x v="1"/>
    <n v="78"/>
    <n v="124566"/>
    <n v="62908.38"/>
    <n v="61657.62"/>
    <n v="0.49497952892442565"/>
    <n v="1597"/>
  </r>
  <r>
    <x v="35"/>
    <x v="0"/>
    <x v="2"/>
    <x v="0"/>
    <n v="40"/>
    <n v="181320"/>
    <n v="141800.51999999999"/>
    <n v="39519.48000000001"/>
    <n v="0.21795433487756458"/>
    <n v="4533"/>
  </r>
  <r>
    <x v="36"/>
    <x v="2"/>
    <x v="0"/>
    <x v="2"/>
    <n v="16"/>
    <n v="67216"/>
    <n v="41085.17"/>
    <n v="26130.83"/>
    <n v="0.38875907522018571"/>
    <n v="4201"/>
  </r>
  <r>
    <x v="37"/>
    <x v="3"/>
    <x v="0"/>
    <x v="1"/>
    <n v="165"/>
    <n v="785895"/>
    <n v="410142.13"/>
    <n v="375752.87"/>
    <n v="0.47812095763428958"/>
    <n v="4763"/>
  </r>
  <r>
    <x v="38"/>
    <x v="1"/>
    <x v="0"/>
    <x v="0"/>
    <n v="59"/>
    <n v="132868"/>
    <n v="97257.3"/>
    <n v="35610.699999999997"/>
    <n v="0.26801562452960831"/>
    <n v="2252"/>
  </r>
  <r>
    <x v="39"/>
    <x v="2"/>
    <x v="2"/>
    <x v="2"/>
    <n v="70"/>
    <n v="228340"/>
    <n v="133890.51999999999"/>
    <n v="94449.48000000001"/>
    <n v="0.41363528072173078"/>
    <n v="3262"/>
  </r>
  <r>
    <x v="11"/>
    <x v="3"/>
    <x v="1"/>
    <x v="0"/>
    <n v="28"/>
    <n v="113708"/>
    <n v="80270.12"/>
    <n v="33437.880000000005"/>
    <n v="0.29406796355577447"/>
    <n v="4061"/>
  </r>
  <r>
    <x v="40"/>
    <x v="1"/>
    <x v="2"/>
    <x v="0"/>
    <n v="68"/>
    <n v="273360"/>
    <n v="187463.23"/>
    <n v="85896.76999999999"/>
    <n v="0.31422581943225047"/>
    <n v="4020"/>
  </r>
  <r>
    <x v="16"/>
    <x v="1"/>
    <x v="2"/>
    <x v="2"/>
    <n v="66"/>
    <n v="184800"/>
    <n v="120333.55"/>
    <n v="64466.45"/>
    <n v="0.34884442640692637"/>
    <n v="2800"/>
  </r>
  <r>
    <x v="31"/>
    <x v="0"/>
    <x v="0"/>
    <x v="0"/>
    <n v="156"/>
    <n v="205608"/>
    <n v="150329.41"/>
    <n v="55278.59"/>
    <n v="0.26885427609820628"/>
    <n v="1318"/>
  </r>
  <r>
    <x v="41"/>
    <x v="2"/>
    <x v="2"/>
    <x v="1"/>
    <n v="173"/>
    <n v="151894"/>
    <n v="105016.87"/>
    <n v="46877.130000000005"/>
    <n v="0.30861739107535519"/>
    <n v="878"/>
  </r>
  <r>
    <x v="42"/>
    <x v="3"/>
    <x v="1"/>
    <x v="2"/>
    <n v="8"/>
    <n v="37400"/>
    <n v="22510.27"/>
    <n v="14889.73"/>
    <n v="0.39812112299465241"/>
    <n v="4675"/>
  </r>
  <r>
    <x v="12"/>
    <x v="0"/>
    <x v="2"/>
    <x v="2"/>
    <n v="164"/>
    <n v="87084"/>
    <n v="43879.14"/>
    <n v="43204.86"/>
    <n v="0.49612856552294338"/>
    <n v="531"/>
  </r>
  <r>
    <x v="43"/>
    <x v="2"/>
    <x v="2"/>
    <x v="1"/>
    <n v="16"/>
    <n v="75776"/>
    <n v="50224.800000000003"/>
    <n v="25551.199999999997"/>
    <n v="0.33719383445945944"/>
    <n v="4736"/>
  </r>
  <r>
    <x v="44"/>
    <x v="0"/>
    <x v="2"/>
    <x v="2"/>
    <n v="36"/>
    <n v="37656"/>
    <n v="29778.36"/>
    <n v="7877.6399999999994"/>
    <n v="0.20920012746972594"/>
    <n v="1046"/>
  </r>
  <r>
    <x v="45"/>
    <x v="2"/>
    <x v="1"/>
    <x v="0"/>
    <n v="48"/>
    <n v="195408"/>
    <n v="114561.81"/>
    <n v="80846.19"/>
    <n v="0.41373019528371408"/>
    <n v="4071"/>
  </r>
  <r>
    <x v="46"/>
    <x v="1"/>
    <x v="0"/>
    <x v="1"/>
    <n v="168"/>
    <n v="140280"/>
    <n v="102932.89"/>
    <n v="37347.11"/>
    <n v="0.26623260621613914"/>
    <n v="835"/>
  </r>
  <r>
    <x v="47"/>
    <x v="2"/>
    <x v="0"/>
    <x v="2"/>
    <n v="102"/>
    <n v="266628"/>
    <n v="168311.25"/>
    <n v="98316.75"/>
    <n v="0.36874127998559791"/>
    <n v="2614"/>
  </r>
  <r>
    <x v="48"/>
    <x v="3"/>
    <x v="2"/>
    <x v="1"/>
    <n v="130"/>
    <n v="586430"/>
    <n v="429245.24"/>
    <n v="157184.76"/>
    <n v="0.26803669662193275"/>
    <n v="4511"/>
  </r>
  <r>
    <x v="49"/>
    <x v="0"/>
    <x v="0"/>
    <x v="2"/>
    <n v="183"/>
    <n v="200019"/>
    <n v="107155.55"/>
    <n v="92863.45"/>
    <n v="0.46427314405131509"/>
    <n v="1093"/>
  </r>
  <r>
    <x v="50"/>
    <x v="2"/>
    <x v="2"/>
    <x v="2"/>
    <n v="148"/>
    <n v="295112"/>
    <n v="248014.75"/>
    <n v="47097.25"/>
    <n v="0.15959110439426388"/>
    <n v="1994"/>
  </r>
  <r>
    <x v="51"/>
    <x v="0"/>
    <x v="1"/>
    <x v="0"/>
    <n v="182"/>
    <n v="663208"/>
    <n v="474667.19"/>
    <n v="188540.81"/>
    <n v="0.28428609124136017"/>
    <n v="3644"/>
  </r>
  <r>
    <x v="43"/>
    <x v="0"/>
    <x v="0"/>
    <x v="2"/>
    <n v="16"/>
    <n v="39968"/>
    <n v="22836.01"/>
    <n v="17131.990000000002"/>
    <n v="0.42864266413130508"/>
    <n v="2498"/>
  </r>
  <r>
    <x v="52"/>
    <x v="2"/>
    <x v="0"/>
    <x v="2"/>
    <n v="83"/>
    <n v="371508"/>
    <n v="314100.53000000003"/>
    <n v="57407.469999999972"/>
    <n v="0.15452552838700639"/>
    <n v="4476"/>
  </r>
  <r>
    <x v="53"/>
    <x v="1"/>
    <x v="2"/>
    <x v="0"/>
    <n v="117"/>
    <n v="449280"/>
    <n v="298863.25"/>
    <n v="150416.75"/>
    <n v="0.33479511663105416"/>
    <n v="3840"/>
  </r>
  <r>
    <x v="54"/>
    <x v="3"/>
    <x v="0"/>
    <x v="1"/>
    <n v="143"/>
    <n v="422422"/>
    <n v="230490.28"/>
    <n v="191931.72"/>
    <n v="0.45436014222744081"/>
    <n v="2954"/>
  </r>
  <r>
    <x v="55"/>
    <x v="3"/>
    <x v="1"/>
    <x v="2"/>
    <n v="195"/>
    <n v="192660"/>
    <n v="100860.56"/>
    <n v="91799.44"/>
    <n v="0.47648416900238766"/>
    <n v="988"/>
  </r>
  <r>
    <x v="56"/>
    <x v="3"/>
    <x v="1"/>
    <x v="0"/>
    <n v="110"/>
    <n v="406560"/>
    <n v="324142.73"/>
    <n v="82417.270000000019"/>
    <n v="0.20271859012199925"/>
    <n v="3696"/>
  </r>
  <r>
    <x v="57"/>
    <x v="3"/>
    <x v="2"/>
    <x v="2"/>
    <n v="46"/>
    <n v="83950"/>
    <n v="55349.09"/>
    <n v="28600.910000000003"/>
    <n v="0.34068981536628951"/>
    <n v="1825"/>
  </r>
  <r>
    <x v="58"/>
    <x v="3"/>
    <x v="0"/>
    <x v="1"/>
    <n v="114"/>
    <n v="230964"/>
    <n v="169635.31"/>
    <n v="61328.69"/>
    <n v="0.26553354635354426"/>
    <n v="2026"/>
  </r>
  <r>
    <x v="59"/>
    <x v="0"/>
    <x v="2"/>
    <x v="2"/>
    <n v="20"/>
    <n v="19220"/>
    <n v="15527.92"/>
    <n v="3692.08"/>
    <n v="0.19209573361082205"/>
    <n v="961"/>
  </r>
  <r>
    <x v="16"/>
    <x v="1"/>
    <x v="0"/>
    <x v="1"/>
    <n v="145"/>
    <n v="637130"/>
    <n v="398437.07"/>
    <n v="238692.93"/>
    <n v="0.37463771914679894"/>
    <n v="4394"/>
  </r>
  <r>
    <x v="60"/>
    <x v="0"/>
    <x v="1"/>
    <x v="0"/>
    <n v="69"/>
    <n v="109986"/>
    <n v="76023.64"/>
    <n v="33962.36"/>
    <n v="0.30878802756714491"/>
    <n v="1594"/>
  </r>
  <r>
    <x v="61"/>
    <x v="0"/>
    <x v="0"/>
    <x v="0"/>
    <n v="28"/>
    <n v="107828"/>
    <n v="59051.91"/>
    <n v="48776.09"/>
    <n v="0.45235087361353266"/>
    <n v="3851"/>
  </r>
  <r>
    <x v="62"/>
    <x v="2"/>
    <x v="1"/>
    <x v="0"/>
    <n v="10"/>
    <n v="44410"/>
    <n v="32856.42"/>
    <n v="11553.580000000002"/>
    <n v="0.26015717180815134"/>
    <n v="4441"/>
  </r>
  <r>
    <x v="63"/>
    <x v="0"/>
    <x v="0"/>
    <x v="1"/>
    <n v="191"/>
    <n v="914508"/>
    <n v="523584.51"/>
    <n v="390923.49"/>
    <n v="0.42746863887467357"/>
    <n v="4788"/>
  </r>
  <r>
    <x v="64"/>
    <x v="2"/>
    <x v="0"/>
    <x v="1"/>
    <n v="88"/>
    <n v="234872"/>
    <n v="195612.99"/>
    <n v="39259.010000000009"/>
    <n v="0.16715066078544913"/>
    <n v="2669"/>
  </r>
  <r>
    <x v="65"/>
    <x v="1"/>
    <x v="2"/>
    <x v="0"/>
    <n v="187"/>
    <n v="673013"/>
    <n v="514501.66"/>
    <n v="158511.34000000003"/>
    <n v="0.23552493042482095"/>
    <n v="3599"/>
  </r>
  <r>
    <x v="66"/>
    <x v="3"/>
    <x v="2"/>
    <x v="2"/>
    <n v="33"/>
    <n v="137841"/>
    <n v="90118.25"/>
    <n v="47722.75"/>
    <n v="0.34621592994827372"/>
    <n v="4177"/>
  </r>
  <r>
    <x v="29"/>
    <x v="3"/>
    <x v="2"/>
    <x v="2"/>
    <n v="166"/>
    <n v="182600"/>
    <n v="140987.13"/>
    <n v="41612.869999999995"/>
    <n v="0.22789085432639647"/>
    <n v="1100"/>
  </r>
  <r>
    <x v="67"/>
    <x v="2"/>
    <x v="2"/>
    <x v="0"/>
    <n v="55"/>
    <n v="157135"/>
    <n v="128770.75"/>
    <n v="28364.25"/>
    <n v="0.18050879816718107"/>
    <n v="2857"/>
  </r>
  <r>
    <x v="68"/>
    <x v="1"/>
    <x v="1"/>
    <x v="0"/>
    <n v="71"/>
    <n v="268806"/>
    <n v="136351"/>
    <n v="132455"/>
    <n v="0.49275313795078979"/>
    <n v="3786"/>
  </r>
  <r>
    <x v="69"/>
    <x v="2"/>
    <x v="0"/>
    <x v="0"/>
    <n v="139"/>
    <n v="679571"/>
    <n v="477254.25"/>
    <n v="202316.75"/>
    <n v="0.29771245388634887"/>
    <n v="4889"/>
  </r>
  <r>
    <x v="70"/>
    <x v="1"/>
    <x v="2"/>
    <x v="2"/>
    <n v="128"/>
    <n v="415488"/>
    <n v="286274.96000000002"/>
    <n v="129213.03999999998"/>
    <n v="0.31099102741836099"/>
    <n v="3246"/>
  </r>
  <r>
    <x v="71"/>
    <x v="3"/>
    <x v="0"/>
    <x v="1"/>
    <n v="17"/>
    <n v="29070"/>
    <n v="21047.05"/>
    <n v="8022.9500000000007"/>
    <n v="0.27598727210182322"/>
    <n v="1710"/>
  </r>
  <r>
    <x v="44"/>
    <x v="2"/>
    <x v="0"/>
    <x v="2"/>
    <n v="54"/>
    <n v="49356"/>
    <n v="25688.94"/>
    <n v="23667.06"/>
    <n v="0.47951738390469245"/>
    <n v="914"/>
  </r>
  <r>
    <x v="72"/>
    <x v="1"/>
    <x v="0"/>
    <x v="1"/>
    <n v="200"/>
    <n v="996800"/>
    <n v="634096.59"/>
    <n v="362703.41000000003"/>
    <n v="0.36386778691813809"/>
    <n v="4984"/>
  </r>
  <r>
    <x v="73"/>
    <x v="0"/>
    <x v="0"/>
    <x v="0"/>
    <n v="112"/>
    <n v="486528"/>
    <n v="402700.42"/>
    <n v="83827.580000000016"/>
    <n v="0.17229754505393322"/>
    <n v="4344"/>
  </r>
  <r>
    <x v="74"/>
    <x v="2"/>
    <x v="0"/>
    <x v="2"/>
    <n v="109"/>
    <n v="88072"/>
    <n v="62824.52"/>
    <n v="25247.480000000003"/>
    <n v="0.28666863475338361"/>
    <n v="808"/>
  </r>
  <r>
    <x v="75"/>
    <x v="3"/>
    <x v="0"/>
    <x v="2"/>
    <n v="37"/>
    <n v="72594"/>
    <n v="45507.79"/>
    <n v="27086.21"/>
    <n v="0.37311912830261451"/>
    <n v="1962"/>
  </r>
  <r>
    <x v="76"/>
    <x v="0"/>
    <x v="2"/>
    <x v="1"/>
    <n v="141"/>
    <n v="698232"/>
    <n v="408637.57"/>
    <n v="289594.43"/>
    <n v="0.41475387836707567"/>
    <n v="4952"/>
  </r>
  <r>
    <x v="57"/>
    <x v="3"/>
    <x v="2"/>
    <x v="2"/>
    <n v="160"/>
    <n v="250080"/>
    <n v="128868.33"/>
    <n v="121211.67"/>
    <n v="0.48469157869481766"/>
    <n v="1563"/>
  </r>
  <r>
    <x v="77"/>
    <x v="0"/>
    <x v="0"/>
    <x v="1"/>
    <n v="42"/>
    <n v="99540"/>
    <n v="82545.45"/>
    <n v="16994.550000000003"/>
    <n v="0.1707308619650392"/>
    <n v="2370"/>
  </r>
  <r>
    <x v="78"/>
    <x v="0"/>
    <x v="1"/>
    <x v="2"/>
    <n v="165"/>
    <n v="330495"/>
    <n v="213470.6"/>
    <n v="117024.4"/>
    <n v="0.35408826154707329"/>
    <n v="2003"/>
  </r>
  <r>
    <x v="57"/>
    <x v="2"/>
    <x v="2"/>
    <x v="0"/>
    <n v="199"/>
    <n v="231835"/>
    <n v="126701.87"/>
    <n v="105133.13"/>
    <n v="0.45348256302974099"/>
    <n v="1165"/>
  </r>
  <r>
    <x v="79"/>
    <x v="3"/>
    <x v="2"/>
    <x v="0"/>
    <n v="20"/>
    <n v="91760"/>
    <n v="77197.850000000006"/>
    <n v="14562.149999999994"/>
    <n v="0.15869823452484735"/>
    <n v="4588"/>
  </r>
  <r>
    <x v="80"/>
    <x v="1"/>
    <x v="1"/>
    <x v="1"/>
    <n v="132"/>
    <n v="612744"/>
    <n v="373800.9"/>
    <n v="238943.09999999998"/>
    <n v="0.38995583800086164"/>
    <n v="4642"/>
  </r>
  <r>
    <x v="81"/>
    <x v="2"/>
    <x v="1"/>
    <x v="2"/>
    <n v="65"/>
    <n v="166660"/>
    <n v="109004"/>
    <n v="57656"/>
    <n v="0.34594983799351975"/>
    <n v="2564"/>
  </r>
  <r>
    <x v="82"/>
    <x v="0"/>
    <x v="0"/>
    <x v="2"/>
    <n v="99"/>
    <n v="125037"/>
    <n v="90474.78"/>
    <n v="34562.22"/>
    <n v="0.27641594088149907"/>
    <n v="1263"/>
  </r>
  <r>
    <x v="15"/>
    <x v="1"/>
    <x v="0"/>
    <x v="1"/>
    <n v="192"/>
    <n v="676032"/>
    <n v="543923.34"/>
    <n v="132108.66000000003"/>
    <n v="0.19541776128940647"/>
    <n v="3521"/>
  </r>
  <r>
    <x v="83"/>
    <x v="2"/>
    <x v="1"/>
    <x v="0"/>
    <n v="72"/>
    <n v="187056"/>
    <n v="154070.29999999999"/>
    <n v="32985.700000000012"/>
    <n v="0.17634130955435812"/>
    <n v="2598"/>
  </r>
  <r>
    <x v="84"/>
    <x v="3"/>
    <x v="2"/>
    <x v="2"/>
    <n v="18"/>
    <n v="31302"/>
    <n v="18898.62"/>
    <n v="12403.380000000001"/>
    <n v="0.39624880199348289"/>
    <n v="1739"/>
  </r>
  <r>
    <x v="85"/>
    <x v="3"/>
    <x v="0"/>
    <x v="0"/>
    <n v="176"/>
    <n v="668448"/>
    <n v="391891.53"/>
    <n v="276556.46999999997"/>
    <n v="0.41372922052276312"/>
    <n v="3798"/>
  </r>
  <r>
    <x v="86"/>
    <x v="2"/>
    <x v="1"/>
    <x v="1"/>
    <n v="148"/>
    <n v="709068"/>
    <n v="365969.34"/>
    <n v="343098.66"/>
    <n v="0.48387271742625526"/>
    <n v="4791"/>
  </r>
  <r>
    <x v="65"/>
    <x v="1"/>
    <x v="1"/>
    <x v="0"/>
    <n v="133"/>
    <n v="113183"/>
    <n v="85789.59"/>
    <n v="27393.410000000003"/>
    <n v="0.24202760131821921"/>
    <n v="851"/>
  </r>
  <r>
    <x v="87"/>
    <x v="1"/>
    <x v="1"/>
    <x v="1"/>
    <n v="123"/>
    <n v="514509"/>
    <n v="435313.23"/>
    <n v="79195.770000000019"/>
    <n v="0.15392494591931341"/>
    <n v="4183"/>
  </r>
  <r>
    <x v="34"/>
    <x v="3"/>
    <x v="2"/>
    <x v="2"/>
    <n v="93"/>
    <n v="146568"/>
    <n v="80361.7"/>
    <n v="66206.3"/>
    <n v="0.45171046886087007"/>
    <n v="1576"/>
  </r>
  <r>
    <x v="70"/>
    <x v="3"/>
    <x v="0"/>
    <x v="2"/>
    <n v="78"/>
    <n v="352560"/>
    <n v="226743"/>
    <n v="125817"/>
    <n v="0.35686691626957112"/>
    <n v="4520"/>
  </r>
  <r>
    <x v="88"/>
    <x v="2"/>
    <x v="0"/>
    <x v="0"/>
    <n v="134"/>
    <n v="146060"/>
    <n v="111215.89"/>
    <n v="34844.11"/>
    <n v="0.23856024921265234"/>
    <n v="1090"/>
  </r>
  <r>
    <x v="15"/>
    <x v="1"/>
    <x v="0"/>
    <x v="0"/>
    <n v="113"/>
    <n v="550084"/>
    <n v="454971.61"/>
    <n v="95112.390000000014"/>
    <n v="0.17290521084052621"/>
    <n v="4868"/>
  </r>
  <r>
    <x v="17"/>
    <x v="2"/>
    <x v="0"/>
    <x v="1"/>
    <n v="120"/>
    <n v="144000"/>
    <n v="114645.07"/>
    <n v="29354.929999999993"/>
    <n v="0.2038536805555555"/>
    <n v="1200"/>
  </r>
  <r>
    <x v="50"/>
    <x v="3"/>
    <x v="1"/>
    <x v="0"/>
    <n v="80"/>
    <n v="274160"/>
    <n v="197547.65"/>
    <n v="76612.350000000006"/>
    <n v="0.279443937846513"/>
    <n v="3427"/>
  </r>
  <r>
    <x v="30"/>
    <x v="3"/>
    <x v="0"/>
    <x v="2"/>
    <n v="50"/>
    <n v="74000"/>
    <n v="39288.080000000002"/>
    <n v="34711.919999999998"/>
    <n v="0.46908"/>
    <n v="1480"/>
  </r>
  <r>
    <x v="89"/>
    <x v="0"/>
    <x v="1"/>
    <x v="1"/>
    <n v="92"/>
    <n v="414736"/>
    <n v="278142.28999999998"/>
    <n v="136593.71000000002"/>
    <n v="0.32935098472281166"/>
    <n v="4508"/>
  </r>
  <r>
    <x v="90"/>
    <x v="0"/>
    <x v="2"/>
    <x v="2"/>
    <n v="195"/>
    <n v="707070"/>
    <n v="383345.59"/>
    <n v="323724.40999999997"/>
    <n v="0.45783926626783766"/>
    <n v="3626"/>
  </r>
  <r>
    <x v="21"/>
    <x v="1"/>
    <x v="1"/>
    <x v="0"/>
    <n v="15"/>
    <n v="44370"/>
    <n v="32985.870000000003"/>
    <n v="11384.129999999997"/>
    <n v="0.25657268424611218"/>
    <n v="2958"/>
  </r>
  <r>
    <x v="91"/>
    <x v="1"/>
    <x v="0"/>
    <x v="2"/>
    <n v="140"/>
    <n v="361620"/>
    <n v="217159.51"/>
    <n v="144460.49"/>
    <n v="0.39948147226370223"/>
    <n v="2583"/>
  </r>
  <r>
    <x v="88"/>
    <x v="3"/>
    <x v="0"/>
    <x v="2"/>
    <n v="88"/>
    <n v="180224"/>
    <n v="104758.76"/>
    <n v="75465.240000000005"/>
    <n v="0.4187302468039773"/>
    <n v="2048"/>
  </r>
  <r>
    <x v="92"/>
    <x v="2"/>
    <x v="0"/>
    <x v="0"/>
    <n v="47"/>
    <n v="171221"/>
    <n v="140281.1"/>
    <n v="30939.899999999994"/>
    <n v="0.18070154945947048"/>
    <n v="3643"/>
  </r>
  <r>
    <x v="93"/>
    <x v="1"/>
    <x v="0"/>
    <x v="0"/>
    <n v="115"/>
    <n v="149730"/>
    <n v="101859.18"/>
    <n v="47870.820000000007"/>
    <n v="0.31971428571428578"/>
    <n v="1302"/>
  </r>
  <r>
    <x v="94"/>
    <x v="3"/>
    <x v="1"/>
    <x v="0"/>
    <n v="124"/>
    <n v="549816"/>
    <n v="409865.88"/>
    <n v="139950.12"/>
    <n v="0.25453991880920163"/>
    <n v="4434"/>
  </r>
  <r>
    <x v="95"/>
    <x v="2"/>
    <x v="0"/>
    <x v="1"/>
    <n v="83"/>
    <n v="91217"/>
    <n v="65781.929999999993"/>
    <n v="25435.070000000007"/>
    <n v="0.27884133440038594"/>
    <n v="1099"/>
  </r>
  <r>
    <x v="96"/>
    <x v="1"/>
    <x v="2"/>
    <x v="0"/>
    <n v="95"/>
    <n v="106495"/>
    <n v="70281.820000000007"/>
    <n v="36213.179999999993"/>
    <n v="0.34004582374759373"/>
    <n v="1121"/>
  </r>
  <r>
    <x v="97"/>
    <x v="3"/>
    <x v="2"/>
    <x v="0"/>
    <n v="64"/>
    <n v="45056"/>
    <n v="23065.29"/>
    <n v="21990.71"/>
    <n v="0.48807506214488633"/>
    <n v="704"/>
  </r>
  <r>
    <x v="98"/>
    <x v="2"/>
    <x v="0"/>
    <x v="0"/>
    <n v="183"/>
    <n v="825513"/>
    <n v="563053.24"/>
    <n v="262459.76"/>
    <n v="0.31793534444642302"/>
    <n v="4511"/>
  </r>
  <r>
    <x v="99"/>
    <x v="0"/>
    <x v="0"/>
    <x v="1"/>
    <n v="13"/>
    <n v="47320"/>
    <n v="39924.839999999997"/>
    <n v="7395.1600000000035"/>
    <n v="0.15627979712595105"/>
    <n v="3640"/>
  </r>
  <r>
    <x v="100"/>
    <x v="0"/>
    <x v="2"/>
    <x v="0"/>
    <n v="199"/>
    <n v="464466"/>
    <n v="261214.41"/>
    <n v="203251.59"/>
    <n v="0.43760273087804058"/>
    <n v="2334"/>
  </r>
  <r>
    <x v="101"/>
    <x v="1"/>
    <x v="0"/>
    <x v="0"/>
    <n v="91"/>
    <n v="211120"/>
    <n v="152953.76999999999"/>
    <n v="58166.23000000001"/>
    <n v="0.27551264683592275"/>
    <n v="2320"/>
  </r>
  <r>
    <x v="102"/>
    <x v="0"/>
    <x v="2"/>
    <x v="1"/>
    <n v="186"/>
    <n v="782874"/>
    <n v="423046.19"/>
    <n v="359827.81"/>
    <n v="0.45962416685188168"/>
    <n v="4209"/>
  </r>
  <r>
    <x v="77"/>
    <x v="3"/>
    <x v="2"/>
    <x v="1"/>
    <n v="102"/>
    <n v="66402"/>
    <n v="37135.5"/>
    <n v="29266.5"/>
    <n v="0.44074726664859493"/>
    <n v="651"/>
  </r>
  <r>
    <x v="103"/>
    <x v="2"/>
    <x v="2"/>
    <x v="1"/>
    <n v="103"/>
    <n v="391503"/>
    <n v="297896.56"/>
    <n v="93606.44"/>
    <n v="0.23909507717693096"/>
    <n v="3801"/>
  </r>
  <r>
    <x v="104"/>
    <x v="2"/>
    <x v="1"/>
    <x v="1"/>
    <n v="163"/>
    <n v="310515"/>
    <n v="185317.95"/>
    <n v="125197.04999999999"/>
    <n v="0.40319163325443214"/>
    <n v="1905"/>
  </r>
  <r>
    <x v="105"/>
    <x v="2"/>
    <x v="2"/>
    <x v="1"/>
    <n v="154"/>
    <n v="552244"/>
    <n v="382464.97"/>
    <n v="169779.03000000003"/>
    <n v="0.30743481142393586"/>
    <n v="3586"/>
  </r>
  <r>
    <x v="106"/>
    <x v="1"/>
    <x v="1"/>
    <x v="0"/>
    <n v="175"/>
    <n v="267400"/>
    <n v="172363.23"/>
    <n v="95036.76999999999"/>
    <n v="0.35541050860134626"/>
    <n v="1528"/>
  </r>
  <r>
    <x v="107"/>
    <x v="0"/>
    <x v="0"/>
    <x v="2"/>
    <n v="115"/>
    <n v="550160"/>
    <n v="361815.01"/>
    <n v="188344.99"/>
    <n v="0.34234584484513592"/>
    <n v="4784"/>
  </r>
  <r>
    <x v="108"/>
    <x v="2"/>
    <x v="1"/>
    <x v="2"/>
    <n v="98"/>
    <n v="288904"/>
    <n v="202464.79"/>
    <n v="86439.209999999992"/>
    <n v="0.29919699969540053"/>
    <n v="2948"/>
  </r>
  <r>
    <x v="109"/>
    <x v="0"/>
    <x v="1"/>
    <x v="0"/>
    <n v="179"/>
    <n v="501737"/>
    <n v="396412.38"/>
    <n v="105324.62"/>
    <n v="0.20991997799644035"/>
    <n v="2803"/>
  </r>
  <r>
    <x v="110"/>
    <x v="2"/>
    <x v="1"/>
    <x v="1"/>
    <n v="165"/>
    <n v="268455"/>
    <n v="189606.01"/>
    <n v="78848.989999999991"/>
    <n v="0.29371399303421425"/>
    <n v="1627"/>
  </r>
  <r>
    <x v="111"/>
    <x v="0"/>
    <x v="2"/>
    <x v="2"/>
    <n v="164"/>
    <n v="432796"/>
    <n v="320242.45"/>
    <n v="112553.54999999999"/>
    <n v="0.26006143772123586"/>
    <n v="2639"/>
  </r>
  <r>
    <x v="112"/>
    <x v="0"/>
    <x v="0"/>
    <x v="1"/>
    <n v="40"/>
    <n v="101040"/>
    <n v="54492.03"/>
    <n v="46547.97"/>
    <n v="0.46068853919239905"/>
    <n v="2526"/>
  </r>
  <r>
    <x v="93"/>
    <x v="3"/>
    <x v="2"/>
    <x v="0"/>
    <n v="115"/>
    <n v="563845"/>
    <n v="455426.56"/>
    <n v="108418.44"/>
    <n v="0.1922841206359904"/>
    <n v="4903"/>
  </r>
  <r>
    <x v="113"/>
    <x v="0"/>
    <x v="2"/>
    <x v="2"/>
    <n v="49"/>
    <n v="128282"/>
    <n v="72524.179999999993"/>
    <n v="55757.820000000007"/>
    <n v="0.43465037963237246"/>
    <n v="2618"/>
  </r>
  <r>
    <x v="114"/>
    <x v="3"/>
    <x v="1"/>
    <x v="1"/>
    <n v="104"/>
    <n v="433888"/>
    <n v="314784"/>
    <n v="119104"/>
    <n v="0.27450401947046243"/>
    <n v="4172"/>
  </r>
  <r>
    <x v="115"/>
    <x v="0"/>
    <x v="0"/>
    <x v="1"/>
    <n v="23"/>
    <n v="33097"/>
    <n v="22713.46"/>
    <n v="10383.540000000001"/>
    <n v="0.31373054959664021"/>
    <n v="1439"/>
  </r>
  <r>
    <x v="116"/>
    <x v="0"/>
    <x v="0"/>
    <x v="1"/>
    <n v="30"/>
    <n v="140970"/>
    <n v="95271.679999999993"/>
    <n v="45698.320000000007"/>
    <n v="0.32417053273746194"/>
    <n v="4699"/>
  </r>
  <r>
    <x v="117"/>
    <x v="1"/>
    <x v="0"/>
    <x v="2"/>
    <n v="32"/>
    <n v="156832"/>
    <n v="84097.57"/>
    <n v="72734.429999999993"/>
    <n v="0.46377289073658434"/>
    <n v="4901"/>
  </r>
  <r>
    <x v="118"/>
    <x v="1"/>
    <x v="1"/>
    <x v="2"/>
    <n v="152"/>
    <n v="369968"/>
    <n v="307027.18"/>
    <n v="62940.820000000007"/>
    <n v="0.1701250378411106"/>
    <n v="2434"/>
  </r>
  <r>
    <x v="119"/>
    <x v="2"/>
    <x v="1"/>
    <x v="2"/>
    <n v="64"/>
    <n v="313024"/>
    <n v="227272.89"/>
    <n v="85751.109999999986"/>
    <n v="0.2739442023614802"/>
    <n v="4891"/>
  </r>
  <r>
    <x v="120"/>
    <x v="0"/>
    <x v="2"/>
    <x v="1"/>
    <n v="100"/>
    <n v="95800"/>
    <n v="61009.17"/>
    <n v="34790.83"/>
    <n v="0.36316106471816284"/>
    <n v="958"/>
  </r>
  <r>
    <x v="58"/>
    <x v="0"/>
    <x v="0"/>
    <x v="1"/>
    <n v="77"/>
    <n v="257180"/>
    <n v="211330.45"/>
    <n v="45849.549999999988"/>
    <n v="0.17827805428104826"/>
    <n v="3340"/>
  </r>
  <r>
    <x v="39"/>
    <x v="2"/>
    <x v="1"/>
    <x v="2"/>
    <n v="132"/>
    <n v="436788"/>
    <n v="250640.56"/>
    <n v="186147.44"/>
    <n v="0.42617342967297639"/>
    <n v="3309"/>
  </r>
  <r>
    <x v="121"/>
    <x v="2"/>
    <x v="0"/>
    <x v="2"/>
    <n v="96"/>
    <n v="365184"/>
    <n v="220420.91"/>
    <n v="144763.09"/>
    <n v="0.39641137070627408"/>
    <n v="3804"/>
  </r>
  <r>
    <x v="122"/>
    <x v="2"/>
    <x v="2"/>
    <x v="1"/>
    <n v="58"/>
    <n v="127426"/>
    <n v="103653.21"/>
    <n v="23772.789999999994"/>
    <n v="0.18656153375292323"/>
    <n v="2197"/>
  </r>
  <r>
    <x v="116"/>
    <x v="2"/>
    <x v="0"/>
    <x v="2"/>
    <n v="172"/>
    <n v="386312"/>
    <n v="254631"/>
    <n v="131681"/>
    <n v="0.34086696763238006"/>
    <n v="2246"/>
  </r>
  <r>
    <x v="123"/>
    <x v="3"/>
    <x v="2"/>
    <x v="2"/>
    <n v="10"/>
    <n v="7300"/>
    <n v="5770.09"/>
    <n v="1529.9099999999999"/>
    <n v="0.2095767123287671"/>
    <n v="730"/>
  </r>
  <r>
    <x v="124"/>
    <x v="1"/>
    <x v="1"/>
    <x v="0"/>
    <n v="60"/>
    <n v="49620"/>
    <n v="27914.39"/>
    <n v="21705.61"/>
    <n v="0.43743671906489318"/>
    <n v="827"/>
  </r>
  <r>
    <x v="125"/>
    <x v="1"/>
    <x v="0"/>
    <x v="0"/>
    <n v="9"/>
    <n v="40185"/>
    <n v="27575.61"/>
    <n v="12609.39"/>
    <n v="0.3137835013064576"/>
    <n v="4465"/>
  </r>
  <r>
    <x v="36"/>
    <x v="0"/>
    <x v="2"/>
    <x v="0"/>
    <n v="112"/>
    <n v="206192"/>
    <n v="106699.33"/>
    <n v="99492.67"/>
    <n v="0.48252439473888414"/>
    <n v="1841"/>
  </r>
  <r>
    <x v="126"/>
    <x v="1"/>
    <x v="0"/>
    <x v="0"/>
    <n v="148"/>
    <n v="298516"/>
    <n v="164356.06"/>
    <n v="134159.94"/>
    <n v="0.44942294550375861"/>
    <n v="2017"/>
  </r>
  <r>
    <x v="127"/>
    <x v="2"/>
    <x v="0"/>
    <x v="2"/>
    <n v="17"/>
    <n v="15232"/>
    <n v="8587.17"/>
    <n v="6644.83"/>
    <n v="0.43624146533613445"/>
    <n v="896"/>
  </r>
  <r>
    <x v="128"/>
    <x v="0"/>
    <x v="1"/>
    <x v="1"/>
    <n v="184"/>
    <n v="375728"/>
    <n v="299623.36"/>
    <n v="76104.640000000014"/>
    <n v="0.20255248477622112"/>
    <n v="2042"/>
  </r>
  <r>
    <x v="79"/>
    <x v="0"/>
    <x v="1"/>
    <x v="1"/>
    <n v="199"/>
    <n v="683963"/>
    <n v="563938.81000000006"/>
    <n v="120024.18999999994"/>
    <n v="0.17548345451435229"/>
    <n v="3437"/>
  </r>
  <r>
    <x v="129"/>
    <x v="2"/>
    <x v="2"/>
    <x v="2"/>
    <n v="74"/>
    <n v="350020"/>
    <n v="223885.76"/>
    <n v="126134.23999999999"/>
    <n v="0.36036295068853208"/>
    <n v="4730"/>
  </r>
  <r>
    <x v="130"/>
    <x v="1"/>
    <x v="1"/>
    <x v="2"/>
    <n v="198"/>
    <n v="772992"/>
    <n v="389935.16"/>
    <n v="383056.84"/>
    <n v="0.4955508465805597"/>
    <n v="3904"/>
  </r>
  <r>
    <x v="131"/>
    <x v="2"/>
    <x v="2"/>
    <x v="2"/>
    <n v="18"/>
    <n v="20934"/>
    <n v="10751.71"/>
    <n v="10182.290000000001"/>
    <n v="0.48639963695423716"/>
    <n v="1163"/>
  </r>
  <r>
    <x v="8"/>
    <x v="3"/>
    <x v="2"/>
    <x v="1"/>
    <n v="15"/>
    <n v="45525"/>
    <n v="26313.91"/>
    <n v="19211.09"/>
    <n v="0.42198989566172435"/>
    <n v="3035"/>
  </r>
  <r>
    <x v="132"/>
    <x v="1"/>
    <x v="0"/>
    <x v="1"/>
    <n v="5"/>
    <n v="5135"/>
    <n v="2737.78"/>
    <n v="2397.2199999999998"/>
    <n v="0.46683933787731252"/>
    <n v="1027"/>
  </r>
  <r>
    <x v="133"/>
    <x v="3"/>
    <x v="2"/>
    <x v="0"/>
    <n v="54"/>
    <n v="133758"/>
    <n v="78096.47"/>
    <n v="55661.53"/>
    <n v="0.41613608158016718"/>
    <n v="2477"/>
  </r>
  <r>
    <x v="134"/>
    <x v="3"/>
    <x v="2"/>
    <x v="1"/>
    <n v="187"/>
    <n v="263483"/>
    <n v="169520.42"/>
    <n v="93962.579999999987"/>
    <n v="0.35661723906286169"/>
    <n v="1409"/>
  </r>
  <r>
    <x v="135"/>
    <x v="1"/>
    <x v="1"/>
    <x v="1"/>
    <n v="199"/>
    <n v="765752"/>
    <n v="646203.99"/>
    <n v="119548.01000000001"/>
    <n v="0.15611844304683503"/>
    <n v="3848"/>
  </r>
  <r>
    <x v="136"/>
    <x v="3"/>
    <x v="0"/>
    <x v="0"/>
    <n v="109"/>
    <n v="358174"/>
    <n v="276875.73"/>
    <n v="81298.270000000019"/>
    <n v="0.22697981986408847"/>
    <n v="3286"/>
  </r>
  <r>
    <x v="137"/>
    <x v="2"/>
    <x v="2"/>
    <x v="0"/>
    <n v="144"/>
    <n v="139248"/>
    <n v="88257.34"/>
    <n v="50990.66"/>
    <n v="0.36618594162932322"/>
    <n v="967"/>
  </r>
  <r>
    <x v="76"/>
    <x v="1"/>
    <x v="1"/>
    <x v="2"/>
    <n v="65"/>
    <n v="237120"/>
    <n v="170338.66"/>
    <n v="66781.34"/>
    <n v="0.28163520580296897"/>
    <n v="3648"/>
  </r>
  <r>
    <x v="138"/>
    <x v="2"/>
    <x v="1"/>
    <x v="0"/>
    <n v="49"/>
    <n v="145628"/>
    <n v="98220.56"/>
    <n v="47407.44"/>
    <n v="0.32553794599939573"/>
    <n v="2972"/>
  </r>
  <r>
    <x v="139"/>
    <x v="3"/>
    <x v="1"/>
    <x v="2"/>
    <n v="149"/>
    <n v="398128"/>
    <n v="222855.73"/>
    <n v="175272.27"/>
    <n v="0.44024100289354173"/>
    <n v="2672"/>
  </r>
  <r>
    <x v="140"/>
    <x v="1"/>
    <x v="0"/>
    <x v="2"/>
    <n v="19"/>
    <n v="75620"/>
    <n v="41121.040000000001"/>
    <n v="34498.959999999999"/>
    <n v="0.45621475800052896"/>
    <n v="3980"/>
  </r>
  <r>
    <x v="141"/>
    <x v="1"/>
    <x v="0"/>
    <x v="2"/>
    <n v="26"/>
    <n v="45058"/>
    <n v="34294.589999999997"/>
    <n v="10763.410000000003"/>
    <n v="0.23887900039948518"/>
    <n v="1733"/>
  </r>
  <r>
    <x v="133"/>
    <x v="1"/>
    <x v="0"/>
    <x v="1"/>
    <n v="82"/>
    <n v="153668"/>
    <n v="123334.18"/>
    <n v="30333.820000000007"/>
    <n v="0.1973984173673114"/>
    <n v="1874"/>
  </r>
  <r>
    <x v="47"/>
    <x v="3"/>
    <x v="1"/>
    <x v="0"/>
    <n v="83"/>
    <n v="159443"/>
    <n v="84700.69"/>
    <n v="74742.31"/>
    <n v="0.4687713477543699"/>
    <n v="1921"/>
  </r>
  <r>
    <x v="69"/>
    <x v="1"/>
    <x v="2"/>
    <x v="0"/>
    <n v="171"/>
    <n v="529074"/>
    <n v="430813.44"/>
    <n v="98260.56"/>
    <n v="0.18572177048957234"/>
    <n v="3094"/>
  </r>
  <r>
    <x v="142"/>
    <x v="3"/>
    <x v="1"/>
    <x v="1"/>
    <n v="94"/>
    <n v="323266"/>
    <n v="267850.81"/>
    <n v="55415.19"/>
    <n v="0.17142288394077942"/>
    <n v="3439"/>
  </r>
  <r>
    <x v="143"/>
    <x v="3"/>
    <x v="2"/>
    <x v="2"/>
    <n v="14"/>
    <n v="57680"/>
    <n v="38977.69"/>
    <n v="18702.309999999998"/>
    <n v="0.32424254507628292"/>
    <n v="4120"/>
  </r>
  <r>
    <x v="3"/>
    <x v="3"/>
    <x v="1"/>
    <x v="2"/>
    <n v="140"/>
    <n v="492800"/>
    <n v="262326.58"/>
    <n v="230473.41999999998"/>
    <n v="0.46768145292207791"/>
    <n v="3520"/>
  </r>
  <r>
    <x v="144"/>
    <x v="1"/>
    <x v="1"/>
    <x v="2"/>
    <n v="56"/>
    <n v="65240"/>
    <n v="45812.28"/>
    <n v="19427.72"/>
    <n v="0.29778847332924591"/>
    <n v="1165"/>
  </r>
  <r>
    <x v="142"/>
    <x v="2"/>
    <x v="1"/>
    <x v="1"/>
    <n v="141"/>
    <n v="378162"/>
    <n v="206529.4"/>
    <n v="171632.6"/>
    <n v="0.45385998593195509"/>
    <n v="2682"/>
  </r>
  <r>
    <x v="28"/>
    <x v="3"/>
    <x v="1"/>
    <x v="1"/>
    <n v="33"/>
    <n v="111969"/>
    <n v="66095.58"/>
    <n v="45873.42"/>
    <n v="0.40969750555957452"/>
    <n v="3393"/>
  </r>
  <r>
    <x v="109"/>
    <x v="2"/>
    <x v="1"/>
    <x v="1"/>
    <n v="142"/>
    <n v="179346"/>
    <n v="130452.62"/>
    <n v="48893.380000000005"/>
    <n v="0.27262040971083829"/>
    <n v="1263"/>
  </r>
  <r>
    <x v="66"/>
    <x v="0"/>
    <x v="0"/>
    <x v="1"/>
    <n v="194"/>
    <n v="439604"/>
    <n v="365100.73"/>
    <n v="74503.270000000019"/>
    <n v="0.16947814396593303"/>
    <n v="2266"/>
  </r>
  <r>
    <x v="45"/>
    <x v="0"/>
    <x v="2"/>
    <x v="1"/>
    <n v="145"/>
    <n v="282460"/>
    <n v="201574.98"/>
    <n v="80885.01999999999"/>
    <n v="0.28635920130283932"/>
    <n v="1948"/>
  </r>
  <r>
    <x v="127"/>
    <x v="3"/>
    <x v="0"/>
    <x v="0"/>
    <n v="156"/>
    <n v="655044"/>
    <n v="473618.24"/>
    <n v="181425.76"/>
    <n v="0.27696728769365114"/>
    <n v="4199"/>
  </r>
  <r>
    <x v="52"/>
    <x v="1"/>
    <x v="0"/>
    <x v="0"/>
    <n v="39"/>
    <n v="84747"/>
    <n v="56094.82"/>
    <n v="28652.18"/>
    <n v="0.33809078787449703"/>
    <n v="2173"/>
  </r>
  <r>
    <x v="5"/>
    <x v="1"/>
    <x v="2"/>
    <x v="2"/>
    <n v="14"/>
    <n v="16660"/>
    <n v="11560.73"/>
    <n v="5099.2700000000004"/>
    <n v="0.30607863145258107"/>
    <n v="1190"/>
  </r>
  <r>
    <x v="107"/>
    <x v="3"/>
    <x v="1"/>
    <x v="0"/>
    <n v="26"/>
    <n v="74412"/>
    <n v="58371.03"/>
    <n v="16040.970000000001"/>
    <n v="0.21556966618287374"/>
    <n v="2862"/>
  </r>
  <r>
    <x v="139"/>
    <x v="0"/>
    <x v="2"/>
    <x v="2"/>
    <n v="100"/>
    <n v="315600"/>
    <n v="169576.34"/>
    <n v="146023.66"/>
    <n v="0.46268586818757923"/>
    <n v="3156"/>
  </r>
  <r>
    <x v="34"/>
    <x v="1"/>
    <x v="0"/>
    <x v="0"/>
    <n v="60"/>
    <n v="262980"/>
    <n v="202368.48"/>
    <n v="60611.51999999999"/>
    <n v="0.23047958019621259"/>
    <n v="4383"/>
  </r>
  <r>
    <x v="145"/>
    <x v="0"/>
    <x v="1"/>
    <x v="1"/>
    <n v="115"/>
    <n v="283475"/>
    <n v="209280.6"/>
    <n v="74194.399999999994"/>
    <n v="0.26173172237410702"/>
    <n v="2465"/>
  </r>
  <r>
    <x v="137"/>
    <x v="3"/>
    <x v="0"/>
    <x v="1"/>
    <n v="18"/>
    <n v="59418"/>
    <n v="31666.37"/>
    <n v="27751.63"/>
    <n v="0.46705762563532938"/>
    <n v="3301"/>
  </r>
  <r>
    <x v="146"/>
    <x v="0"/>
    <x v="0"/>
    <x v="1"/>
    <n v="153"/>
    <n v="192933"/>
    <n v="150450.29999999999"/>
    <n v="42482.700000000012"/>
    <n v="0.22019405700424505"/>
    <n v="1261"/>
  </r>
  <r>
    <x v="147"/>
    <x v="3"/>
    <x v="2"/>
    <x v="0"/>
    <n v="29"/>
    <n v="78648"/>
    <n v="62996.23"/>
    <n v="15651.769999999997"/>
    <n v="0.19901040077306476"/>
    <n v="2712"/>
  </r>
  <r>
    <x v="148"/>
    <x v="0"/>
    <x v="2"/>
    <x v="2"/>
    <n v="190"/>
    <n v="376770"/>
    <n v="248336.63"/>
    <n v="128433.37"/>
    <n v="0.34088003291132518"/>
    <n v="1983"/>
  </r>
  <r>
    <x v="58"/>
    <x v="0"/>
    <x v="1"/>
    <x v="0"/>
    <n v="154"/>
    <n v="649418"/>
    <n v="420734.97"/>
    <n v="228683.03000000003"/>
    <n v="0.35213534272225289"/>
    <n v="4217"/>
  </r>
  <r>
    <x v="24"/>
    <x v="1"/>
    <x v="1"/>
    <x v="0"/>
    <n v="119"/>
    <n v="501228"/>
    <n v="369495.33"/>
    <n v="131732.66999999998"/>
    <n v="0.26281985443750144"/>
    <n v="42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CC22E-A7FC-4508-B44D-6EC0BD15EB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8" firstHeaderRow="0" firstDataRow="1" firstDataCol="1"/>
  <pivotFields count="11">
    <pivotField showAll="0">
      <items count="150">
        <item x="130"/>
        <item x="115"/>
        <item x="98"/>
        <item x="105"/>
        <item x="33"/>
        <item x="7"/>
        <item x="13"/>
        <item x="12"/>
        <item x="133"/>
        <item x="142"/>
        <item x="132"/>
        <item x="139"/>
        <item x="64"/>
        <item x="10"/>
        <item x="5"/>
        <item x="29"/>
        <item x="47"/>
        <item x="9"/>
        <item x="72"/>
        <item x="61"/>
        <item x="109"/>
        <item x="92"/>
        <item x="59"/>
        <item x="73"/>
        <item x="126"/>
        <item x="131"/>
        <item x="87"/>
        <item x="110"/>
        <item x="122"/>
        <item x="22"/>
        <item x="19"/>
        <item x="121"/>
        <item x="77"/>
        <item x="117"/>
        <item x="107"/>
        <item x="90"/>
        <item x="134"/>
        <item x="14"/>
        <item x="111"/>
        <item x="86"/>
        <item x="3"/>
        <item x="143"/>
        <item x="46"/>
        <item x="85"/>
        <item x="100"/>
        <item x="17"/>
        <item x="125"/>
        <item x="54"/>
        <item x="18"/>
        <item x="56"/>
        <item x="99"/>
        <item x="39"/>
        <item x="35"/>
        <item x="116"/>
        <item x="94"/>
        <item x="53"/>
        <item x="58"/>
        <item x="84"/>
        <item x="106"/>
        <item x="70"/>
        <item x="4"/>
        <item x="136"/>
        <item x="43"/>
        <item x="82"/>
        <item x="76"/>
        <item x="127"/>
        <item x="102"/>
        <item x="148"/>
        <item x="52"/>
        <item x="41"/>
        <item x="21"/>
        <item x="113"/>
        <item x="44"/>
        <item x="50"/>
        <item x="75"/>
        <item x="69"/>
        <item x="145"/>
        <item x="78"/>
        <item x="32"/>
        <item x="36"/>
        <item x="49"/>
        <item x="144"/>
        <item x="74"/>
        <item x="40"/>
        <item x="118"/>
        <item x="45"/>
        <item x="15"/>
        <item x="123"/>
        <item x="103"/>
        <item x="67"/>
        <item x="62"/>
        <item x="108"/>
        <item x="124"/>
        <item x="2"/>
        <item x="81"/>
        <item x="140"/>
        <item x="147"/>
        <item x="114"/>
        <item x="137"/>
        <item x="0"/>
        <item x="138"/>
        <item x="42"/>
        <item x="101"/>
        <item x="6"/>
        <item x="95"/>
        <item x="97"/>
        <item x="27"/>
        <item x="65"/>
        <item x="30"/>
        <item x="129"/>
        <item x="11"/>
        <item x="93"/>
        <item x="1"/>
        <item x="112"/>
        <item x="141"/>
        <item x="38"/>
        <item x="25"/>
        <item x="79"/>
        <item x="20"/>
        <item x="48"/>
        <item x="8"/>
        <item x="91"/>
        <item x="28"/>
        <item x="120"/>
        <item x="88"/>
        <item x="60"/>
        <item x="31"/>
        <item x="135"/>
        <item x="71"/>
        <item x="51"/>
        <item x="128"/>
        <item x="66"/>
        <item x="104"/>
        <item x="146"/>
        <item x="24"/>
        <item x="34"/>
        <item x="16"/>
        <item x="80"/>
        <item x="83"/>
        <item x="89"/>
        <item x="96"/>
        <item x="57"/>
        <item x="23"/>
        <item x="55"/>
        <item x="37"/>
        <item x="26"/>
        <item x="63"/>
        <item x="119"/>
        <item x="6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_Sold" fld="4" baseField="0" baseItem="0"/>
    <dataField name="Sum of Revenue" fld="5" baseField="0" baseItem="0"/>
    <dataField name="Sum of Profit" fld="7" baseField="0" baseItem="0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F9822-4E85-432F-85A7-B431329D376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7" firstHeaderRow="0" firstDataRow="1" firstDataCol="1"/>
  <pivotFields count="11">
    <pivotField showAll="0">
      <items count="150">
        <item x="130"/>
        <item x="115"/>
        <item x="98"/>
        <item x="105"/>
        <item x="33"/>
        <item x="7"/>
        <item x="13"/>
        <item x="12"/>
        <item x="133"/>
        <item x="142"/>
        <item x="132"/>
        <item x="139"/>
        <item x="64"/>
        <item x="10"/>
        <item x="5"/>
        <item x="29"/>
        <item x="47"/>
        <item x="9"/>
        <item x="72"/>
        <item x="61"/>
        <item x="109"/>
        <item x="92"/>
        <item x="59"/>
        <item x="73"/>
        <item x="126"/>
        <item x="131"/>
        <item x="87"/>
        <item x="110"/>
        <item x="122"/>
        <item x="22"/>
        <item x="19"/>
        <item x="121"/>
        <item x="77"/>
        <item x="117"/>
        <item x="107"/>
        <item x="90"/>
        <item x="134"/>
        <item x="14"/>
        <item x="111"/>
        <item x="86"/>
        <item x="3"/>
        <item x="143"/>
        <item x="46"/>
        <item x="85"/>
        <item x="100"/>
        <item x="17"/>
        <item x="125"/>
        <item x="54"/>
        <item x="18"/>
        <item x="56"/>
        <item x="99"/>
        <item x="39"/>
        <item x="35"/>
        <item x="116"/>
        <item x="94"/>
        <item x="53"/>
        <item x="58"/>
        <item x="84"/>
        <item x="106"/>
        <item x="70"/>
        <item x="4"/>
        <item x="136"/>
        <item x="43"/>
        <item x="82"/>
        <item x="76"/>
        <item x="127"/>
        <item x="102"/>
        <item x="148"/>
        <item x="52"/>
        <item x="41"/>
        <item x="21"/>
        <item x="113"/>
        <item x="44"/>
        <item x="50"/>
        <item x="75"/>
        <item x="69"/>
        <item x="145"/>
        <item x="78"/>
        <item x="32"/>
        <item x="36"/>
        <item x="49"/>
        <item x="144"/>
        <item x="74"/>
        <item x="40"/>
        <item x="118"/>
        <item x="45"/>
        <item x="15"/>
        <item x="123"/>
        <item x="103"/>
        <item x="67"/>
        <item x="62"/>
        <item x="108"/>
        <item x="124"/>
        <item x="2"/>
        <item x="81"/>
        <item x="140"/>
        <item x="147"/>
        <item x="114"/>
        <item x="137"/>
        <item x="0"/>
        <item x="138"/>
        <item x="42"/>
        <item x="101"/>
        <item x="6"/>
        <item x="95"/>
        <item x="97"/>
        <item x="27"/>
        <item x="65"/>
        <item x="30"/>
        <item x="129"/>
        <item x="11"/>
        <item x="93"/>
        <item x="1"/>
        <item x="112"/>
        <item x="141"/>
        <item x="38"/>
        <item x="25"/>
        <item x="79"/>
        <item x="20"/>
        <item x="48"/>
        <item x="8"/>
        <item x="91"/>
        <item x="28"/>
        <item x="120"/>
        <item x="88"/>
        <item x="60"/>
        <item x="31"/>
        <item x="135"/>
        <item x="71"/>
        <item x="51"/>
        <item x="128"/>
        <item x="66"/>
        <item x="104"/>
        <item x="146"/>
        <item x="24"/>
        <item x="34"/>
        <item x="16"/>
        <item x="80"/>
        <item x="83"/>
        <item x="89"/>
        <item x="96"/>
        <item x="57"/>
        <item x="23"/>
        <item x="55"/>
        <item x="37"/>
        <item x="26"/>
        <item x="63"/>
        <item x="119"/>
        <item x="68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dataField="1" showAll="0"/>
    <pivotField showAll="0"/>
    <pivotField dataField="1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_Sold" fld="4" baseField="0" baseItem="0"/>
    <dataField name="Sum of Profit" fld="7" baseField="0" baseItem="0"/>
    <dataField name="Sum of Revenue" fld="5" baseField="0" baseItem="0"/>
  </dataFields>
  <chartFormats count="1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DDFB8-19B6-425E-A40D-20B10E93FC4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11">
    <pivotField showAll="0">
      <items count="150">
        <item x="130"/>
        <item x="115"/>
        <item x="98"/>
        <item x="105"/>
        <item x="33"/>
        <item x="7"/>
        <item x="13"/>
        <item x="12"/>
        <item x="133"/>
        <item x="142"/>
        <item x="132"/>
        <item x="139"/>
        <item x="64"/>
        <item x="10"/>
        <item x="5"/>
        <item x="29"/>
        <item x="47"/>
        <item x="9"/>
        <item x="72"/>
        <item x="61"/>
        <item x="109"/>
        <item x="92"/>
        <item x="59"/>
        <item x="73"/>
        <item x="126"/>
        <item x="131"/>
        <item x="87"/>
        <item x="110"/>
        <item x="122"/>
        <item x="22"/>
        <item x="19"/>
        <item x="121"/>
        <item x="77"/>
        <item x="117"/>
        <item x="107"/>
        <item x="90"/>
        <item x="134"/>
        <item x="14"/>
        <item x="111"/>
        <item x="86"/>
        <item x="3"/>
        <item x="143"/>
        <item x="46"/>
        <item x="85"/>
        <item x="100"/>
        <item x="17"/>
        <item x="125"/>
        <item x="54"/>
        <item x="18"/>
        <item x="56"/>
        <item x="99"/>
        <item x="39"/>
        <item x="35"/>
        <item x="116"/>
        <item x="94"/>
        <item x="53"/>
        <item x="58"/>
        <item x="84"/>
        <item x="106"/>
        <item x="70"/>
        <item x="4"/>
        <item x="136"/>
        <item x="43"/>
        <item x="82"/>
        <item x="76"/>
        <item x="127"/>
        <item x="102"/>
        <item x="148"/>
        <item x="52"/>
        <item x="41"/>
        <item x="21"/>
        <item x="113"/>
        <item x="44"/>
        <item x="50"/>
        <item x="75"/>
        <item x="69"/>
        <item x="145"/>
        <item x="78"/>
        <item x="32"/>
        <item x="36"/>
        <item x="49"/>
        <item x="144"/>
        <item x="74"/>
        <item x="40"/>
        <item x="118"/>
        <item x="45"/>
        <item x="15"/>
        <item x="123"/>
        <item x="103"/>
        <item x="67"/>
        <item x="62"/>
        <item x="108"/>
        <item x="124"/>
        <item x="2"/>
        <item x="81"/>
        <item x="140"/>
        <item x="147"/>
        <item x="114"/>
        <item x="137"/>
        <item x="0"/>
        <item x="138"/>
        <item x="42"/>
        <item x="101"/>
        <item x="6"/>
        <item x="95"/>
        <item x="97"/>
        <item x="27"/>
        <item x="65"/>
        <item x="30"/>
        <item x="129"/>
        <item x="11"/>
        <item x="93"/>
        <item x="1"/>
        <item x="112"/>
        <item x="141"/>
        <item x="38"/>
        <item x="25"/>
        <item x="79"/>
        <item x="20"/>
        <item x="48"/>
        <item x="8"/>
        <item x="91"/>
        <item x="28"/>
        <item x="120"/>
        <item x="88"/>
        <item x="60"/>
        <item x="31"/>
        <item x="135"/>
        <item x="71"/>
        <item x="51"/>
        <item x="128"/>
        <item x="66"/>
        <item x="104"/>
        <item x="146"/>
        <item x="24"/>
        <item x="34"/>
        <item x="16"/>
        <item x="80"/>
        <item x="83"/>
        <item x="89"/>
        <item x="96"/>
        <item x="57"/>
        <item x="23"/>
        <item x="55"/>
        <item x="37"/>
        <item x="26"/>
        <item x="63"/>
        <item x="119"/>
        <item x="68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dataField="1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Profit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FE46C-E653-4C9F-B1CE-BC7D7C6A66E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6" firstHeaderRow="1" firstDataRow="1" firstDataCol="1"/>
  <pivotFields count="11">
    <pivotField showAll="0">
      <items count="150">
        <item x="130"/>
        <item x="115"/>
        <item x="98"/>
        <item x="105"/>
        <item x="33"/>
        <item x="7"/>
        <item x="13"/>
        <item x="12"/>
        <item x="133"/>
        <item x="142"/>
        <item x="132"/>
        <item x="139"/>
        <item x="64"/>
        <item x="10"/>
        <item x="5"/>
        <item x="29"/>
        <item x="47"/>
        <item x="9"/>
        <item x="72"/>
        <item x="61"/>
        <item x="109"/>
        <item x="92"/>
        <item x="59"/>
        <item x="73"/>
        <item x="126"/>
        <item x="131"/>
        <item x="87"/>
        <item x="110"/>
        <item x="122"/>
        <item x="22"/>
        <item x="19"/>
        <item x="121"/>
        <item x="77"/>
        <item x="117"/>
        <item x="107"/>
        <item x="90"/>
        <item x="134"/>
        <item x="14"/>
        <item x="111"/>
        <item x="86"/>
        <item x="3"/>
        <item x="143"/>
        <item x="46"/>
        <item x="85"/>
        <item x="100"/>
        <item x="17"/>
        <item x="125"/>
        <item x="54"/>
        <item x="18"/>
        <item x="56"/>
        <item x="99"/>
        <item x="39"/>
        <item x="35"/>
        <item x="116"/>
        <item x="94"/>
        <item x="53"/>
        <item x="58"/>
        <item x="84"/>
        <item x="106"/>
        <item x="70"/>
        <item x="4"/>
        <item x="136"/>
        <item x="43"/>
        <item x="82"/>
        <item x="76"/>
        <item x="127"/>
        <item x="102"/>
        <item x="148"/>
        <item x="52"/>
        <item x="41"/>
        <item x="21"/>
        <item x="113"/>
        <item x="44"/>
        <item x="50"/>
        <item x="75"/>
        <item x="69"/>
        <item x="145"/>
        <item x="78"/>
        <item x="32"/>
        <item x="36"/>
        <item x="49"/>
        <item x="144"/>
        <item x="74"/>
        <item x="40"/>
        <item x="118"/>
        <item x="45"/>
        <item x="15"/>
        <item x="123"/>
        <item x="103"/>
        <item x="67"/>
        <item x="62"/>
        <item x="108"/>
        <item x="124"/>
        <item x="2"/>
        <item x="81"/>
        <item x="140"/>
        <item x="147"/>
        <item x="114"/>
        <item x="137"/>
        <item x="0"/>
        <item x="138"/>
        <item x="42"/>
        <item x="101"/>
        <item x="6"/>
        <item x="95"/>
        <item x="97"/>
        <item x="27"/>
        <item x="65"/>
        <item x="30"/>
        <item x="129"/>
        <item x="11"/>
        <item x="93"/>
        <item x="1"/>
        <item x="112"/>
        <item x="141"/>
        <item x="38"/>
        <item x="25"/>
        <item x="79"/>
        <item x="20"/>
        <item x="48"/>
        <item x="8"/>
        <item x="91"/>
        <item x="28"/>
        <item x="120"/>
        <item x="88"/>
        <item x="60"/>
        <item x="31"/>
        <item x="135"/>
        <item x="71"/>
        <item x="51"/>
        <item x="128"/>
        <item x="66"/>
        <item x="104"/>
        <item x="146"/>
        <item x="24"/>
        <item x="34"/>
        <item x="16"/>
        <item x="80"/>
        <item x="83"/>
        <item x="89"/>
        <item x="96"/>
        <item x="57"/>
        <item x="23"/>
        <item x="55"/>
        <item x="37"/>
        <item x="26"/>
        <item x="63"/>
        <item x="119"/>
        <item x="6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5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E67ED9-BD29-4A83-AA65-D45ABFC03405}" name="Table3" displayName="Table3" ref="A1:J201" totalsRowShown="0" headerRowDxfId="12" dataDxfId="11" tableBorderDxfId="10">
  <autoFilter ref="A1:J201" xr:uid="{D9E67ED9-BD29-4A83-AA65-D45ABFC03405}"/>
  <tableColumns count="10">
    <tableColumn id="1" xr3:uid="{7CE1EDDF-3743-4DAB-B086-224255995F13}" name="Date" dataDxfId="9"/>
    <tableColumn id="2" xr3:uid="{9C03E6F1-5D42-499A-B66F-DF6633D1F1C7}" name="Region" dataDxfId="8"/>
    <tableColumn id="3" xr3:uid="{94DB3150-660C-42C8-9E9B-358298377096}" name="Product_Category" dataDxfId="7"/>
    <tableColumn id="4" xr3:uid="{5DE0D25D-4D83-4DFE-A5A5-266914863A37}" name="Customer_Segment" dataDxfId="6"/>
    <tableColumn id="5" xr3:uid="{EF6200CE-2E58-41A0-BAFE-79D0F8D9729F}" name="Units_Sold" dataDxfId="5"/>
    <tableColumn id="6" xr3:uid="{436FF781-1502-4F4A-84BB-2C3183787D19}" name="Revenue" dataDxfId="4"/>
    <tableColumn id="7" xr3:uid="{94C2BB57-24BE-4F47-9225-B1059A3D851B}" name="Cost" dataDxfId="3"/>
    <tableColumn id="8" xr3:uid="{01EDBBA3-36C7-451F-8924-6BEFE7900724}" name="Profit" dataDxfId="2">
      <calculatedColumnFormula>Business_Data!$F2-Business_Data!$G2</calculatedColumnFormula>
    </tableColumn>
    <tableColumn id="9" xr3:uid="{A20B0714-BCC6-4261-8D2F-B73B60E0000D}" name="Profit Margin" dataDxfId="1" dataCellStyle="Percent">
      <calculatedColumnFormula>Business_Data!$H2/Business_Data!$F2</calculatedColumnFormula>
    </tableColumn>
    <tableColumn id="10" xr3:uid="{49D1616F-5380-4D68-83BB-404434439143}" name="Revenue_per_Unit" dataDxfId="0">
      <calculatedColumnFormula>Business_Data!$F2/Business_Data!$E2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D0E8C55-5737-4120-8314-AFD0B6C1846F}" name="Table9" displayName="Table9" ref="C5:P22" totalsRowShown="0">
  <autoFilter ref="C5:P22" xr:uid="{5D0E8C55-5737-4120-8314-AFD0B6C1846F}"/>
  <tableColumns count="14">
    <tableColumn id="1" xr3:uid="{486E83BE-6FF2-4B88-882B-D86103991112}" name="Column1"/>
    <tableColumn id="2" xr3:uid="{29FE4EF0-C550-4EA3-BCDD-B5EF6E1C26A9}" name="Column2"/>
    <tableColumn id="3" xr3:uid="{1625DB96-3911-4863-B954-DD61024452ED}" name="Column3"/>
    <tableColumn id="4" xr3:uid="{69E4863B-BAAD-4E2C-8AF6-274D5FBBFA19}" name="Column4"/>
    <tableColumn id="5" xr3:uid="{80BB9075-2820-486D-9C78-7A5B09761E06}" name="Column5"/>
    <tableColumn id="6" xr3:uid="{8DB95F16-F2C7-434E-B649-3F6A8F5DF5EE}" name="Column6"/>
    <tableColumn id="7" xr3:uid="{29ACDEF1-86AB-4CCE-BE04-B2BF0D427323}" name="Column7"/>
    <tableColumn id="8" xr3:uid="{CB4C1E3B-D7B8-4694-AA8E-8E1F27C8980F}" name="Column8"/>
    <tableColumn id="9" xr3:uid="{797B9B91-2953-42E7-8C2F-4126F608FCA3}" name="Column9"/>
    <tableColumn id="10" xr3:uid="{226C37A5-89A9-40D8-BA81-0823D86E8671}" name="Column10"/>
    <tableColumn id="11" xr3:uid="{51433C66-7E04-4A96-8737-2612ADC51D1D}" name="Column11"/>
    <tableColumn id="12" xr3:uid="{0F41315F-D54F-4EBF-BC98-CB14A15E23F9}" name="Column12"/>
    <tableColumn id="13" xr3:uid="{0C02B375-79BC-438A-B9CA-D6DDBC2EAFBD}" name="Column13"/>
    <tableColumn id="14" xr3:uid="{083E944F-A353-412E-AF2B-4538F4931A26}" name="Column14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opLeftCell="E1" workbookViewId="0">
      <selection activeCell="J7" sqref="J7"/>
    </sheetView>
  </sheetViews>
  <sheetFormatPr defaultRowHeight="14.5" x14ac:dyDescent="0.35"/>
  <cols>
    <col min="1" max="1" width="18.81640625" style="7" customWidth="1"/>
    <col min="3" max="3" width="18.36328125" customWidth="1"/>
    <col min="4" max="4" width="21.54296875" customWidth="1"/>
    <col min="5" max="5" width="17.26953125" customWidth="1"/>
    <col min="6" max="6" width="12.7265625" customWidth="1"/>
    <col min="7" max="7" width="11.26953125" customWidth="1"/>
    <col min="8" max="8" width="11.54296875" customWidth="1"/>
    <col min="9" max="9" width="13.90625" style="1" customWidth="1"/>
    <col min="10" max="10" width="18.36328125" customWidth="1"/>
  </cols>
  <sheetData>
    <row r="1" spans="1:10" x14ac:dyDescent="0.3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23</v>
      </c>
      <c r="I1" s="18" t="s">
        <v>24</v>
      </c>
      <c r="J1" s="17" t="s">
        <v>25</v>
      </c>
    </row>
    <row r="2" spans="1:10" x14ac:dyDescent="0.35">
      <c r="A2" s="12">
        <v>45551</v>
      </c>
      <c r="B2" s="8" t="s">
        <v>7</v>
      </c>
      <c r="C2" s="8" t="s">
        <v>8</v>
      </c>
      <c r="D2" s="8" t="s">
        <v>9</v>
      </c>
      <c r="E2" s="8">
        <v>13</v>
      </c>
      <c r="F2" s="8">
        <v>56212</v>
      </c>
      <c r="G2" s="8">
        <v>30537.15</v>
      </c>
      <c r="H2" s="8">
        <f>Business_Data!$F2-Business_Data!$G2</f>
        <v>25674.85</v>
      </c>
      <c r="I2" s="9">
        <f>Business_Data!$H2/Business_Data!$F2</f>
        <v>0.45675033800611964</v>
      </c>
      <c r="J2" s="8">
        <f>Business_Data!$F2/Business_Data!$E2</f>
        <v>4324</v>
      </c>
    </row>
    <row r="3" spans="1:10" x14ac:dyDescent="0.35">
      <c r="A3" s="13">
        <v>45577</v>
      </c>
      <c r="B3" s="10" t="s">
        <v>10</v>
      </c>
      <c r="C3" s="10" t="s">
        <v>11</v>
      </c>
      <c r="D3" s="10" t="s">
        <v>12</v>
      </c>
      <c r="E3" s="10">
        <v>96</v>
      </c>
      <c r="F3" s="10">
        <v>58176</v>
      </c>
      <c r="G3" s="10">
        <v>32401.66</v>
      </c>
      <c r="H3" s="10">
        <f>Business_Data!$F3-Business_Data!$G3</f>
        <v>25774.34</v>
      </c>
      <c r="I3" s="11">
        <f>Business_Data!$H3/Business_Data!$F3</f>
        <v>0.44304077282728271</v>
      </c>
      <c r="J3" s="14">
        <f>Business_Data!$F3/Business_Data!$E3</f>
        <v>606</v>
      </c>
    </row>
    <row r="4" spans="1:10" x14ac:dyDescent="0.35">
      <c r="A4" s="12">
        <v>45532</v>
      </c>
      <c r="B4" s="8" t="s">
        <v>13</v>
      </c>
      <c r="C4" s="8" t="s">
        <v>8</v>
      </c>
      <c r="D4" s="8" t="s">
        <v>12</v>
      </c>
      <c r="E4" s="8">
        <v>135</v>
      </c>
      <c r="F4" s="8">
        <v>495720</v>
      </c>
      <c r="G4" s="8">
        <v>293744.19</v>
      </c>
      <c r="H4" s="8">
        <f>Business_Data!$F4-Business_Data!$G4</f>
        <v>201975.81</v>
      </c>
      <c r="I4" s="9">
        <f>Business_Data!$H4/Business_Data!$F4</f>
        <v>0.40743930041152265</v>
      </c>
      <c r="J4" s="15">
        <f>Business_Data!$F4/Business_Data!$E4</f>
        <v>3672</v>
      </c>
    </row>
    <row r="5" spans="1:10" x14ac:dyDescent="0.35">
      <c r="A5" s="13">
        <v>45397</v>
      </c>
      <c r="B5" s="10" t="s">
        <v>14</v>
      </c>
      <c r="C5" s="10" t="s">
        <v>15</v>
      </c>
      <c r="D5" s="10" t="s">
        <v>9</v>
      </c>
      <c r="E5" s="10">
        <v>17</v>
      </c>
      <c r="F5" s="10">
        <v>43265</v>
      </c>
      <c r="G5" s="10">
        <v>31823.759999999998</v>
      </c>
      <c r="H5" s="10">
        <f>Business_Data!$F5-Business_Data!$G5</f>
        <v>11441.240000000002</v>
      </c>
      <c r="I5" s="11">
        <f>Business_Data!$H5/Business_Data!$F5</f>
        <v>0.26444562579452219</v>
      </c>
      <c r="J5" s="14">
        <f>Business_Data!$F5/Business_Data!$E5</f>
        <v>2545</v>
      </c>
    </row>
    <row r="6" spans="1:10" x14ac:dyDescent="0.35">
      <c r="A6" s="12">
        <v>45441</v>
      </c>
      <c r="B6" s="8" t="s">
        <v>7</v>
      </c>
      <c r="C6" s="8" t="s">
        <v>15</v>
      </c>
      <c r="D6" s="8" t="s">
        <v>16</v>
      </c>
      <c r="E6" s="8">
        <v>170</v>
      </c>
      <c r="F6" s="8">
        <v>722670</v>
      </c>
      <c r="G6" s="8">
        <v>512630.04</v>
      </c>
      <c r="H6" s="8">
        <f>Business_Data!$F6-Business_Data!$G6</f>
        <v>210039.96000000002</v>
      </c>
      <c r="I6" s="9">
        <f>Business_Data!$H6/Business_Data!$F6</f>
        <v>0.29064436049649223</v>
      </c>
      <c r="J6" s="15">
        <f>Business_Data!$F6/Business_Data!$E6</f>
        <v>4251</v>
      </c>
    </row>
    <row r="7" spans="1:10" x14ac:dyDescent="0.35">
      <c r="A7" s="13">
        <v>45323</v>
      </c>
      <c r="B7" s="10" t="s">
        <v>13</v>
      </c>
      <c r="C7" s="10" t="s">
        <v>8</v>
      </c>
      <c r="D7" s="10" t="s">
        <v>12</v>
      </c>
      <c r="E7" s="10">
        <v>165</v>
      </c>
      <c r="F7" s="10">
        <v>760980</v>
      </c>
      <c r="G7" s="10">
        <v>576624.17000000004</v>
      </c>
      <c r="H7" s="10">
        <f>Business_Data!$F7-Business_Data!$G7</f>
        <v>184355.82999999996</v>
      </c>
      <c r="I7" s="11">
        <f>Business_Data!$H7/Business_Data!$F7</f>
        <v>0.24226107125022991</v>
      </c>
      <c r="J7" s="14">
        <f>Business_Data!$F7/Business_Data!$E7</f>
        <v>4612</v>
      </c>
    </row>
    <row r="8" spans="1:10" x14ac:dyDescent="0.35">
      <c r="A8" s="12">
        <v>45561</v>
      </c>
      <c r="B8" s="8" t="s">
        <v>10</v>
      </c>
      <c r="C8" s="8" t="s">
        <v>15</v>
      </c>
      <c r="D8" s="8" t="s">
        <v>12</v>
      </c>
      <c r="E8" s="8">
        <v>191</v>
      </c>
      <c r="F8" s="8">
        <v>788639</v>
      </c>
      <c r="G8" s="8">
        <v>666249.47</v>
      </c>
      <c r="H8" s="8">
        <f>Business_Data!$F8-Business_Data!$G8</f>
        <v>122389.53000000003</v>
      </c>
      <c r="I8" s="9">
        <f>Business_Data!$H8/Business_Data!$F8</f>
        <v>0.15519081607681084</v>
      </c>
      <c r="J8" s="15">
        <f>Business_Data!$F8/Business_Data!$E8</f>
        <v>4129</v>
      </c>
    </row>
    <row r="9" spans="1:10" x14ac:dyDescent="0.35">
      <c r="A9" s="13">
        <v>45301</v>
      </c>
      <c r="B9" s="10" t="s">
        <v>10</v>
      </c>
      <c r="C9" s="10" t="s">
        <v>8</v>
      </c>
      <c r="D9" s="10" t="s">
        <v>9</v>
      </c>
      <c r="E9" s="10">
        <v>74</v>
      </c>
      <c r="F9" s="10">
        <v>211862</v>
      </c>
      <c r="G9" s="10">
        <v>125269.56</v>
      </c>
      <c r="H9" s="10">
        <f>Business_Data!$F9-Business_Data!$G9</f>
        <v>86592.44</v>
      </c>
      <c r="I9" s="11">
        <f>Business_Data!$H9/Business_Data!$F9</f>
        <v>0.40872095987010415</v>
      </c>
      <c r="J9" s="14">
        <f>Business_Data!$F9/Business_Data!$E9</f>
        <v>2863</v>
      </c>
    </row>
    <row r="10" spans="1:10" x14ac:dyDescent="0.35">
      <c r="A10" s="12">
        <v>45591</v>
      </c>
      <c r="B10" s="8" t="s">
        <v>13</v>
      </c>
      <c r="C10" s="8" t="s">
        <v>8</v>
      </c>
      <c r="D10" s="8" t="s">
        <v>16</v>
      </c>
      <c r="E10" s="8">
        <v>46</v>
      </c>
      <c r="F10" s="8">
        <v>216522</v>
      </c>
      <c r="G10" s="8">
        <v>140557.47</v>
      </c>
      <c r="H10" s="8">
        <f>Business_Data!$F10-Business_Data!$G10</f>
        <v>75964.53</v>
      </c>
      <c r="I10" s="9">
        <f>Business_Data!$H10/Business_Data!$F10</f>
        <v>0.35083977609665529</v>
      </c>
      <c r="J10" s="15">
        <f>Business_Data!$F10/Business_Data!$E10</f>
        <v>4707</v>
      </c>
    </row>
    <row r="11" spans="1:10" x14ac:dyDescent="0.35">
      <c r="A11" s="13">
        <v>45333</v>
      </c>
      <c r="B11" s="10" t="s">
        <v>14</v>
      </c>
      <c r="C11" s="10" t="s">
        <v>8</v>
      </c>
      <c r="D11" s="10" t="s">
        <v>16</v>
      </c>
      <c r="E11" s="10">
        <v>157</v>
      </c>
      <c r="F11" s="10">
        <v>647468</v>
      </c>
      <c r="G11" s="10">
        <v>386079.85</v>
      </c>
      <c r="H11" s="10">
        <f>Business_Data!$F11-Business_Data!$G11</f>
        <v>261388.15000000002</v>
      </c>
      <c r="I11" s="11">
        <f>Business_Data!$H11/Business_Data!$F11</f>
        <v>0.40370821415112412</v>
      </c>
      <c r="J11" s="14">
        <f>Business_Data!$F11/Business_Data!$E11</f>
        <v>4124</v>
      </c>
    </row>
    <row r="12" spans="1:10" x14ac:dyDescent="0.35">
      <c r="A12" s="12">
        <v>45321</v>
      </c>
      <c r="B12" s="8" t="s">
        <v>10</v>
      </c>
      <c r="C12" s="8" t="s">
        <v>15</v>
      </c>
      <c r="D12" s="8" t="s">
        <v>12</v>
      </c>
      <c r="E12" s="8">
        <v>69</v>
      </c>
      <c r="F12" s="8">
        <v>87837</v>
      </c>
      <c r="G12" s="8">
        <v>70487.100000000006</v>
      </c>
      <c r="H12" s="8">
        <f>Business_Data!$F12-Business_Data!$G12</f>
        <v>17349.899999999994</v>
      </c>
      <c r="I12" s="9">
        <f>Business_Data!$H12/Business_Data!$F12</f>
        <v>0.19752382253492257</v>
      </c>
      <c r="J12" s="15">
        <f>Business_Data!$F12/Business_Data!$E12</f>
        <v>1273</v>
      </c>
    </row>
    <row r="13" spans="1:10" x14ac:dyDescent="0.35">
      <c r="A13" s="13">
        <v>45575</v>
      </c>
      <c r="B13" s="10" t="s">
        <v>7</v>
      </c>
      <c r="C13" s="10" t="s">
        <v>11</v>
      </c>
      <c r="D13" s="10" t="s">
        <v>12</v>
      </c>
      <c r="E13" s="10">
        <v>118</v>
      </c>
      <c r="F13" s="10">
        <v>122720</v>
      </c>
      <c r="G13" s="10">
        <v>66758.11</v>
      </c>
      <c r="H13" s="10">
        <f>Business_Data!$F13-Business_Data!$G13</f>
        <v>55961.89</v>
      </c>
      <c r="I13" s="11">
        <f>Business_Data!$H13/Business_Data!$F13</f>
        <v>0.45601279335071709</v>
      </c>
      <c r="J13" s="14">
        <f>Business_Data!$F13/Business_Data!$E13</f>
        <v>1040</v>
      </c>
    </row>
    <row r="14" spans="1:10" x14ac:dyDescent="0.35">
      <c r="A14" s="12">
        <v>45305</v>
      </c>
      <c r="B14" s="8" t="s">
        <v>14</v>
      </c>
      <c r="C14" s="8" t="s">
        <v>8</v>
      </c>
      <c r="D14" s="8" t="s">
        <v>9</v>
      </c>
      <c r="E14" s="8">
        <v>122</v>
      </c>
      <c r="F14" s="8">
        <v>474092</v>
      </c>
      <c r="G14" s="8">
        <v>283054.96000000002</v>
      </c>
      <c r="H14" s="8">
        <f>Business_Data!$F14-Business_Data!$G14</f>
        <v>191037.03999999998</v>
      </c>
      <c r="I14" s="9">
        <f>Business_Data!$H14/Business_Data!$F14</f>
        <v>0.40295351957004122</v>
      </c>
      <c r="J14" s="15">
        <f>Business_Data!$F14/Business_Data!$E14</f>
        <v>3886</v>
      </c>
    </row>
    <row r="15" spans="1:10" x14ac:dyDescent="0.35">
      <c r="A15" s="13">
        <v>45303</v>
      </c>
      <c r="B15" s="10" t="s">
        <v>14</v>
      </c>
      <c r="C15" s="10" t="s">
        <v>15</v>
      </c>
      <c r="D15" s="10" t="s">
        <v>12</v>
      </c>
      <c r="E15" s="10">
        <v>81</v>
      </c>
      <c r="F15" s="10">
        <v>217485</v>
      </c>
      <c r="G15" s="10">
        <v>124775.21</v>
      </c>
      <c r="H15" s="10">
        <f>Business_Data!$F15-Business_Data!$G15</f>
        <v>92709.79</v>
      </c>
      <c r="I15" s="11">
        <f>Business_Data!$H15/Business_Data!$F15</f>
        <v>0.42628130675678777</v>
      </c>
      <c r="J15" s="14">
        <f>Business_Data!$F15/Business_Data!$E15</f>
        <v>2685</v>
      </c>
    </row>
    <row r="16" spans="1:10" x14ac:dyDescent="0.35">
      <c r="A16" s="12">
        <v>45386</v>
      </c>
      <c r="B16" s="8" t="s">
        <v>13</v>
      </c>
      <c r="C16" s="8" t="s">
        <v>15</v>
      </c>
      <c r="D16" s="8" t="s">
        <v>12</v>
      </c>
      <c r="E16" s="8">
        <v>102</v>
      </c>
      <c r="F16" s="8">
        <v>105468</v>
      </c>
      <c r="G16" s="8">
        <v>88704.14</v>
      </c>
      <c r="H16" s="8">
        <f>Business_Data!$F16-Business_Data!$G16</f>
        <v>16763.86</v>
      </c>
      <c r="I16" s="9">
        <f>Business_Data!$H16/Business_Data!$F16</f>
        <v>0.15894735844047483</v>
      </c>
      <c r="J16" s="15">
        <f>Business_Data!$F16/Business_Data!$E16</f>
        <v>1034</v>
      </c>
    </row>
    <row r="17" spans="1:10" x14ac:dyDescent="0.35">
      <c r="A17" s="13">
        <v>45516</v>
      </c>
      <c r="B17" s="10" t="s">
        <v>14</v>
      </c>
      <c r="C17" s="10" t="s">
        <v>11</v>
      </c>
      <c r="D17" s="10" t="s">
        <v>9</v>
      </c>
      <c r="E17" s="10">
        <v>125</v>
      </c>
      <c r="F17" s="10">
        <v>496250</v>
      </c>
      <c r="G17" s="10">
        <v>285372.28999999998</v>
      </c>
      <c r="H17" s="10">
        <f>Business_Data!$F17-Business_Data!$G17</f>
        <v>210877.71000000002</v>
      </c>
      <c r="I17" s="11">
        <f>Business_Data!$H17/Business_Data!$F17</f>
        <v>0.42494248866498746</v>
      </c>
      <c r="J17" s="14">
        <f>Business_Data!$F17/Business_Data!$E17</f>
        <v>3970</v>
      </c>
    </row>
    <row r="18" spans="1:10" x14ac:dyDescent="0.35">
      <c r="A18" s="12">
        <v>45625</v>
      </c>
      <c r="B18" s="8" t="s">
        <v>10</v>
      </c>
      <c r="C18" s="8" t="s">
        <v>8</v>
      </c>
      <c r="D18" s="8" t="s">
        <v>16</v>
      </c>
      <c r="E18" s="8">
        <v>12</v>
      </c>
      <c r="F18" s="8">
        <v>21672</v>
      </c>
      <c r="G18" s="8">
        <v>16983.900000000001</v>
      </c>
      <c r="H18" s="8">
        <f>Business_Data!$F18-Business_Data!$G18</f>
        <v>4688.0999999999985</v>
      </c>
      <c r="I18" s="9">
        <f>Business_Data!$H18/Business_Data!$F18</f>
        <v>0.21632059800664444</v>
      </c>
      <c r="J18" s="15">
        <f>Business_Data!$F18/Business_Data!$E18</f>
        <v>1806</v>
      </c>
    </row>
    <row r="19" spans="1:10" x14ac:dyDescent="0.35">
      <c r="A19" s="13">
        <v>45404</v>
      </c>
      <c r="B19" s="10" t="s">
        <v>7</v>
      </c>
      <c r="C19" s="10" t="s">
        <v>15</v>
      </c>
      <c r="D19" s="10" t="s">
        <v>9</v>
      </c>
      <c r="E19" s="10">
        <v>44</v>
      </c>
      <c r="F19" s="10">
        <v>78100</v>
      </c>
      <c r="G19" s="10">
        <v>42974.62</v>
      </c>
      <c r="H19" s="10">
        <f>Business_Data!$F19-Business_Data!$G19</f>
        <v>35125.379999999997</v>
      </c>
      <c r="I19" s="11">
        <f>Business_Data!$H19/Business_Data!$F19</f>
        <v>0.44974878361075543</v>
      </c>
      <c r="J19" s="14">
        <f>Business_Data!$F19/Business_Data!$E19</f>
        <v>1775</v>
      </c>
    </row>
    <row r="20" spans="1:10" x14ac:dyDescent="0.35">
      <c r="A20" s="12">
        <v>45415</v>
      </c>
      <c r="B20" s="8" t="s">
        <v>10</v>
      </c>
      <c r="C20" s="8" t="s">
        <v>8</v>
      </c>
      <c r="D20" s="8" t="s">
        <v>16</v>
      </c>
      <c r="E20" s="8">
        <v>42</v>
      </c>
      <c r="F20" s="8">
        <v>135366</v>
      </c>
      <c r="G20" s="8">
        <v>105428.22</v>
      </c>
      <c r="H20" s="8">
        <f>Business_Data!$F20-Business_Data!$G20</f>
        <v>29937.78</v>
      </c>
      <c r="I20" s="9">
        <f>Business_Data!$H20/Business_Data!$F20</f>
        <v>0.22116173928460617</v>
      </c>
      <c r="J20" s="15">
        <f>Business_Data!$F20/Business_Data!$E20</f>
        <v>3223</v>
      </c>
    </row>
    <row r="21" spans="1:10" x14ac:dyDescent="0.35">
      <c r="A21" s="13">
        <v>45363</v>
      </c>
      <c r="B21" s="10" t="s">
        <v>13</v>
      </c>
      <c r="C21" s="10" t="s">
        <v>11</v>
      </c>
      <c r="D21" s="10" t="s">
        <v>16</v>
      </c>
      <c r="E21" s="10">
        <v>46</v>
      </c>
      <c r="F21" s="10">
        <v>87998</v>
      </c>
      <c r="G21" s="10">
        <v>54287.63</v>
      </c>
      <c r="H21" s="10">
        <f>Business_Data!$F21-Business_Data!$G21</f>
        <v>33710.370000000003</v>
      </c>
      <c r="I21" s="11">
        <f>Business_Data!$H21/Business_Data!$F21</f>
        <v>0.38308109275210805</v>
      </c>
      <c r="J21" s="14">
        <f>Business_Data!$F21/Business_Data!$E21</f>
        <v>1913</v>
      </c>
    </row>
    <row r="22" spans="1:10" x14ac:dyDescent="0.35">
      <c r="A22" s="12">
        <v>45587</v>
      </c>
      <c r="B22" s="8" t="s">
        <v>7</v>
      </c>
      <c r="C22" s="8" t="s">
        <v>11</v>
      </c>
      <c r="D22" s="8" t="s">
        <v>12</v>
      </c>
      <c r="E22" s="8">
        <v>12</v>
      </c>
      <c r="F22" s="8">
        <v>25176</v>
      </c>
      <c r="G22" s="8">
        <v>16036.73</v>
      </c>
      <c r="H22" s="8">
        <f>Business_Data!$F22-Business_Data!$G22</f>
        <v>9139.27</v>
      </c>
      <c r="I22" s="9">
        <f>Business_Data!$H22/Business_Data!$F22</f>
        <v>0.36301517318080712</v>
      </c>
      <c r="J22" s="15">
        <f>Business_Data!$F22/Business_Data!$E22</f>
        <v>2098</v>
      </c>
    </row>
    <row r="23" spans="1:10" x14ac:dyDescent="0.35">
      <c r="A23" s="13">
        <v>45469</v>
      </c>
      <c r="B23" s="10" t="s">
        <v>14</v>
      </c>
      <c r="C23" s="10" t="s">
        <v>8</v>
      </c>
      <c r="D23" s="10" t="s">
        <v>16</v>
      </c>
      <c r="E23" s="10">
        <v>18</v>
      </c>
      <c r="F23" s="10">
        <v>69246</v>
      </c>
      <c r="G23" s="10">
        <v>56291.46</v>
      </c>
      <c r="H23" s="10">
        <f>Business_Data!$F23-Business_Data!$G23</f>
        <v>12954.54</v>
      </c>
      <c r="I23" s="11">
        <f>Business_Data!$H23/Business_Data!$F23</f>
        <v>0.18707997573867083</v>
      </c>
      <c r="J23" s="14">
        <f>Business_Data!$F23/Business_Data!$E23</f>
        <v>3847</v>
      </c>
    </row>
    <row r="24" spans="1:10" x14ac:dyDescent="0.35">
      <c r="A24" s="12">
        <v>45361</v>
      </c>
      <c r="B24" s="8" t="s">
        <v>7</v>
      </c>
      <c r="C24" s="8" t="s">
        <v>11</v>
      </c>
      <c r="D24" s="8" t="s">
        <v>12</v>
      </c>
      <c r="E24" s="8">
        <v>174</v>
      </c>
      <c r="F24" s="8">
        <v>401940</v>
      </c>
      <c r="G24" s="8">
        <v>213362.34</v>
      </c>
      <c r="H24" s="8">
        <f>Business_Data!$F24-Business_Data!$G24</f>
        <v>188577.66</v>
      </c>
      <c r="I24" s="9">
        <f>Business_Data!$H24/Business_Data!$F24</f>
        <v>0.46916868189281985</v>
      </c>
      <c r="J24" s="15">
        <f>Business_Data!$F24/Business_Data!$E24</f>
        <v>2310</v>
      </c>
    </row>
    <row r="25" spans="1:10" x14ac:dyDescent="0.35">
      <c r="A25" s="13">
        <v>45640</v>
      </c>
      <c r="B25" s="10" t="s">
        <v>13</v>
      </c>
      <c r="C25" s="10" t="s">
        <v>11</v>
      </c>
      <c r="D25" s="10" t="s">
        <v>12</v>
      </c>
      <c r="E25" s="10">
        <v>79</v>
      </c>
      <c r="F25" s="10">
        <v>77420</v>
      </c>
      <c r="G25" s="10">
        <v>45141.89</v>
      </c>
      <c r="H25" s="10">
        <f>Business_Data!$F25-Business_Data!$G25</f>
        <v>32278.11</v>
      </c>
      <c r="I25" s="11">
        <f>Business_Data!$H25/Business_Data!$F25</f>
        <v>0.41692211314905708</v>
      </c>
      <c r="J25" s="14">
        <f>Business_Data!$F25/Business_Data!$E25</f>
        <v>980</v>
      </c>
    </row>
    <row r="26" spans="1:10" x14ac:dyDescent="0.35">
      <c r="A26" s="12">
        <v>45616</v>
      </c>
      <c r="B26" s="8" t="s">
        <v>7</v>
      </c>
      <c r="C26" s="8" t="s">
        <v>11</v>
      </c>
      <c r="D26" s="8" t="s">
        <v>9</v>
      </c>
      <c r="E26" s="8">
        <v>122</v>
      </c>
      <c r="F26" s="8">
        <v>376858</v>
      </c>
      <c r="G26" s="8">
        <v>220742.73</v>
      </c>
      <c r="H26" s="8">
        <f>Business_Data!$F26-Business_Data!$G26</f>
        <v>156115.26999999999</v>
      </c>
      <c r="I26" s="9">
        <f>Business_Data!$H26/Business_Data!$F26</f>
        <v>0.41425489176294517</v>
      </c>
      <c r="J26" s="15">
        <f>Business_Data!$F26/Business_Data!$E26</f>
        <v>3089</v>
      </c>
    </row>
    <row r="27" spans="1:10" x14ac:dyDescent="0.35">
      <c r="A27" s="13">
        <v>45584</v>
      </c>
      <c r="B27" s="10" t="s">
        <v>14</v>
      </c>
      <c r="C27" s="10" t="s">
        <v>11</v>
      </c>
      <c r="D27" s="10" t="s">
        <v>9</v>
      </c>
      <c r="E27" s="10">
        <v>180</v>
      </c>
      <c r="F27" s="10">
        <v>829620</v>
      </c>
      <c r="G27" s="10">
        <v>451263.62</v>
      </c>
      <c r="H27" s="10">
        <f>Business_Data!$F27-Business_Data!$G27</f>
        <v>378356.38</v>
      </c>
      <c r="I27" s="11">
        <f>Business_Data!$H27/Business_Data!$F27</f>
        <v>0.45605985873050314</v>
      </c>
      <c r="J27" s="14">
        <f>Business_Data!$F27/Business_Data!$E27</f>
        <v>4609</v>
      </c>
    </row>
    <row r="28" spans="1:10" x14ac:dyDescent="0.35">
      <c r="A28" s="12">
        <v>45625</v>
      </c>
      <c r="B28" s="8" t="s">
        <v>14</v>
      </c>
      <c r="C28" s="8" t="s">
        <v>15</v>
      </c>
      <c r="D28" s="8" t="s">
        <v>16</v>
      </c>
      <c r="E28" s="8">
        <v>120</v>
      </c>
      <c r="F28" s="8">
        <v>585120</v>
      </c>
      <c r="G28" s="8">
        <v>355250.59</v>
      </c>
      <c r="H28" s="8">
        <f>Business_Data!$F28-Business_Data!$G28</f>
        <v>229869.40999999997</v>
      </c>
      <c r="I28" s="9">
        <f>Business_Data!$H28/Business_Data!$F28</f>
        <v>0.39285857601859442</v>
      </c>
      <c r="J28" s="15">
        <f>Business_Data!$F28/Business_Data!$E28</f>
        <v>4876</v>
      </c>
    </row>
    <row r="29" spans="1:10" x14ac:dyDescent="0.35">
      <c r="A29" s="13">
        <v>45647</v>
      </c>
      <c r="B29" s="10" t="s">
        <v>14</v>
      </c>
      <c r="C29" s="10" t="s">
        <v>8</v>
      </c>
      <c r="D29" s="10" t="s">
        <v>16</v>
      </c>
      <c r="E29" s="10">
        <v>127</v>
      </c>
      <c r="F29" s="10">
        <v>267081</v>
      </c>
      <c r="G29" s="10">
        <v>171722.65</v>
      </c>
      <c r="H29" s="10">
        <f>Business_Data!$F29-Business_Data!$G29</f>
        <v>95358.35</v>
      </c>
      <c r="I29" s="11">
        <f>Business_Data!$H29/Business_Data!$F29</f>
        <v>0.3570390630557771</v>
      </c>
      <c r="J29" s="14">
        <f>Business_Data!$F29/Business_Data!$E29</f>
        <v>2103</v>
      </c>
    </row>
    <row r="30" spans="1:10" x14ac:dyDescent="0.35">
      <c r="A30" s="12">
        <v>45568</v>
      </c>
      <c r="B30" s="8" t="s">
        <v>13</v>
      </c>
      <c r="C30" s="8" t="s">
        <v>8</v>
      </c>
      <c r="D30" s="8" t="s">
        <v>16</v>
      </c>
      <c r="E30" s="8">
        <v>98</v>
      </c>
      <c r="F30" s="8">
        <v>466088</v>
      </c>
      <c r="G30" s="8">
        <v>356543.9</v>
      </c>
      <c r="H30" s="8">
        <f>Business_Data!$F30-Business_Data!$G30</f>
        <v>109544.09999999998</v>
      </c>
      <c r="I30" s="9">
        <f>Business_Data!$H30/Business_Data!$F30</f>
        <v>0.23502879284598613</v>
      </c>
      <c r="J30" s="15">
        <f>Business_Data!$F30/Business_Data!$E30</f>
        <v>4756</v>
      </c>
    </row>
    <row r="31" spans="1:10" x14ac:dyDescent="0.35">
      <c r="A31" s="13">
        <v>45596</v>
      </c>
      <c r="B31" s="10" t="s">
        <v>13</v>
      </c>
      <c r="C31" s="10" t="s">
        <v>8</v>
      </c>
      <c r="D31" s="10" t="s">
        <v>9</v>
      </c>
      <c r="E31" s="10">
        <v>76</v>
      </c>
      <c r="F31" s="10">
        <v>165148</v>
      </c>
      <c r="G31" s="10">
        <v>111893.29</v>
      </c>
      <c r="H31" s="10">
        <f>Business_Data!$F31-Business_Data!$G31</f>
        <v>53254.710000000006</v>
      </c>
      <c r="I31" s="11">
        <f>Business_Data!$H31/Business_Data!$F31</f>
        <v>0.32246657543536711</v>
      </c>
      <c r="J31" s="14">
        <f>Business_Data!$F31/Business_Data!$E31</f>
        <v>2173</v>
      </c>
    </row>
    <row r="32" spans="1:10" x14ac:dyDescent="0.35">
      <c r="A32" s="12">
        <v>45325</v>
      </c>
      <c r="B32" s="8" t="s">
        <v>14</v>
      </c>
      <c r="C32" s="8" t="s">
        <v>8</v>
      </c>
      <c r="D32" s="8" t="s">
        <v>16</v>
      </c>
      <c r="E32" s="8">
        <v>183</v>
      </c>
      <c r="F32" s="8">
        <v>898347</v>
      </c>
      <c r="G32" s="8">
        <v>725670.87</v>
      </c>
      <c r="H32" s="8">
        <f>Business_Data!$F32-Business_Data!$G32</f>
        <v>172676.13</v>
      </c>
      <c r="I32" s="9">
        <f>Business_Data!$H32/Business_Data!$F32</f>
        <v>0.19221540228887057</v>
      </c>
      <c r="J32" s="15">
        <f>Business_Data!$F32/Business_Data!$E32</f>
        <v>4909</v>
      </c>
    </row>
    <row r="33" spans="1:10" x14ac:dyDescent="0.35">
      <c r="A33" s="13">
        <v>45571</v>
      </c>
      <c r="B33" s="10" t="s">
        <v>13</v>
      </c>
      <c r="C33" s="10" t="s">
        <v>11</v>
      </c>
      <c r="D33" s="10" t="s">
        <v>9</v>
      </c>
      <c r="E33" s="10">
        <v>84</v>
      </c>
      <c r="F33" s="10">
        <v>348600</v>
      </c>
      <c r="G33" s="10">
        <v>288359.76</v>
      </c>
      <c r="H33" s="10">
        <f>Business_Data!$F33-Business_Data!$G33</f>
        <v>60240.239999999991</v>
      </c>
      <c r="I33" s="11">
        <f>Business_Data!$H33/Business_Data!$F33</f>
        <v>0.17280619621342511</v>
      </c>
      <c r="J33" s="14">
        <f>Business_Data!$F33/Business_Data!$E33</f>
        <v>4150</v>
      </c>
    </row>
    <row r="34" spans="1:10" x14ac:dyDescent="0.35">
      <c r="A34" s="12">
        <v>45604</v>
      </c>
      <c r="B34" s="8" t="s">
        <v>14</v>
      </c>
      <c r="C34" s="8" t="s">
        <v>15</v>
      </c>
      <c r="D34" s="8" t="s">
        <v>9</v>
      </c>
      <c r="E34" s="8">
        <v>200</v>
      </c>
      <c r="F34" s="8">
        <v>196200</v>
      </c>
      <c r="G34" s="8">
        <v>112790.93</v>
      </c>
      <c r="H34" s="8">
        <f>Business_Data!$F34-Business_Data!$G34</f>
        <v>83409.070000000007</v>
      </c>
      <c r="I34" s="9">
        <f>Business_Data!$H34/Business_Data!$F34</f>
        <v>0.42512268093781858</v>
      </c>
      <c r="J34" s="15">
        <f>Business_Data!$F34/Business_Data!$E34</f>
        <v>981</v>
      </c>
    </row>
    <row r="35" spans="1:10" x14ac:dyDescent="0.35">
      <c r="A35" s="13">
        <v>45568</v>
      </c>
      <c r="B35" s="10" t="s">
        <v>14</v>
      </c>
      <c r="C35" s="10" t="s">
        <v>15</v>
      </c>
      <c r="D35" s="10" t="s">
        <v>12</v>
      </c>
      <c r="E35" s="10">
        <v>54</v>
      </c>
      <c r="F35" s="10">
        <v>230364</v>
      </c>
      <c r="G35" s="10">
        <v>138151.72</v>
      </c>
      <c r="H35" s="10">
        <f>Business_Data!$F35-Business_Data!$G35</f>
        <v>92212.28</v>
      </c>
      <c r="I35" s="11">
        <f>Business_Data!$H35/Business_Data!$F35</f>
        <v>0.40028945494955809</v>
      </c>
      <c r="J35" s="14">
        <f>Business_Data!$F35/Business_Data!$E35</f>
        <v>4266</v>
      </c>
    </row>
    <row r="36" spans="1:10" x14ac:dyDescent="0.35">
      <c r="A36" s="12">
        <v>45492</v>
      </c>
      <c r="B36" s="8" t="s">
        <v>10</v>
      </c>
      <c r="C36" s="8" t="s">
        <v>11</v>
      </c>
      <c r="D36" s="8" t="s">
        <v>9</v>
      </c>
      <c r="E36" s="8">
        <v>23</v>
      </c>
      <c r="F36" s="8">
        <v>78522</v>
      </c>
      <c r="G36" s="8">
        <v>47322.48</v>
      </c>
      <c r="H36" s="8">
        <f>Business_Data!$F36-Business_Data!$G36</f>
        <v>31199.519999999997</v>
      </c>
      <c r="I36" s="9">
        <f>Business_Data!$H36/Business_Data!$F36</f>
        <v>0.39733475968518372</v>
      </c>
      <c r="J36" s="15">
        <f>Business_Data!$F36/Business_Data!$E36</f>
        <v>3414</v>
      </c>
    </row>
    <row r="37" spans="1:10" x14ac:dyDescent="0.35">
      <c r="A37" s="13">
        <v>45323</v>
      </c>
      <c r="B37" s="10" t="s">
        <v>13</v>
      </c>
      <c r="C37" s="10" t="s">
        <v>15</v>
      </c>
      <c r="D37" s="10" t="s">
        <v>9</v>
      </c>
      <c r="E37" s="10">
        <v>23</v>
      </c>
      <c r="F37" s="10">
        <v>108997</v>
      </c>
      <c r="G37" s="10">
        <v>81357.42</v>
      </c>
      <c r="H37" s="10">
        <f>Business_Data!$F37-Business_Data!$G37</f>
        <v>27639.58</v>
      </c>
      <c r="I37" s="11">
        <f>Business_Data!$H37/Business_Data!$F37</f>
        <v>0.25358110773691023</v>
      </c>
      <c r="J37" s="14">
        <f>Business_Data!$F37/Business_Data!$E37</f>
        <v>4739</v>
      </c>
    </row>
    <row r="38" spans="1:10" x14ac:dyDescent="0.35">
      <c r="A38" s="12">
        <v>45300</v>
      </c>
      <c r="B38" s="8" t="s">
        <v>10</v>
      </c>
      <c r="C38" s="8" t="s">
        <v>15</v>
      </c>
      <c r="D38" s="8" t="s">
        <v>9</v>
      </c>
      <c r="E38" s="8">
        <v>35</v>
      </c>
      <c r="F38" s="8">
        <v>54040</v>
      </c>
      <c r="G38" s="8">
        <v>45300.6</v>
      </c>
      <c r="H38" s="8">
        <f>Business_Data!$F38-Business_Data!$G38</f>
        <v>8739.4000000000015</v>
      </c>
      <c r="I38" s="9">
        <f>Business_Data!$H38/Business_Data!$F38</f>
        <v>0.16172094744633608</v>
      </c>
      <c r="J38" s="15">
        <f>Business_Data!$F38/Business_Data!$E38</f>
        <v>1544</v>
      </c>
    </row>
    <row r="39" spans="1:10" x14ac:dyDescent="0.35">
      <c r="A39" s="13">
        <v>45305</v>
      </c>
      <c r="B39" s="10" t="s">
        <v>13</v>
      </c>
      <c r="C39" s="10" t="s">
        <v>11</v>
      </c>
      <c r="D39" s="10" t="s">
        <v>12</v>
      </c>
      <c r="E39" s="10">
        <v>139</v>
      </c>
      <c r="F39" s="10">
        <v>443966</v>
      </c>
      <c r="G39" s="10">
        <v>348085.59</v>
      </c>
      <c r="H39" s="10">
        <f>Business_Data!$F39-Business_Data!$G39</f>
        <v>95880.409999999974</v>
      </c>
      <c r="I39" s="11">
        <f>Business_Data!$H39/Business_Data!$F39</f>
        <v>0.21596340710775144</v>
      </c>
      <c r="J39" s="14">
        <f>Business_Data!$F39/Business_Data!$E39</f>
        <v>3194</v>
      </c>
    </row>
    <row r="40" spans="1:10" x14ac:dyDescent="0.35">
      <c r="A40" s="12">
        <v>45619</v>
      </c>
      <c r="B40" s="8" t="s">
        <v>13</v>
      </c>
      <c r="C40" s="8" t="s">
        <v>15</v>
      </c>
      <c r="D40" s="8" t="s">
        <v>12</v>
      </c>
      <c r="E40" s="8">
        <v>78</v>
      </c>
      <c r="F40" s="8">
        <v>124566</v>
      </c>
      <c r="G40" s="8">
        <v>62908.38</v>
      </c>
      <c r="H40" s="8">
        <f>Business_Data!$F40-Business_Data!$G40</f>
        <v>61657.62</v>
      </c>
      <c r="I40" s="9">
        <f>Business_Data!$H40/Business_Data!$F40</f>
        <v>0.49497952892442565</v>
      </c>
      <c r="J40" s="15">
        <f>Business_Data!$F40/Business_Data!$E40</f>
        <v>1597</v>
      </c>
    </row>
    <row r="41" spans="1:10" x14ac:dyDescent="0.35">
      <c r="A41" s="13">
        <v>45423</v>
      </c>
      <c r="B41" s="10" t="s">
        <v>7</v>
      </c>
      <c r="C41" s="10" t="s">
        <v>15</v>
      </c>
      <c r="D41" s="10" t="s">
        <v>9</v>
      </c>
      <c r="E41" s="10">
        <v>40</v>
      </c>
      <c r="F41" s="10">
        <v>181320</v>
      </c>
      <c r="G41" s="10">
        <v>141800.51999999999</v>
      </c>
      <c r="H41" s="10">
        <f>Business_Data!$F41-Business_Data!$G41</f>
        <v>39519.48000000001</v>
      </c>
      <c r="I41" s="11">
        <f>Business_Data!$H41/Business_Data!$F41</f>
        <v>0.21795433487756458</v>
      </c>
      <c r="J41" s="14">
        <f>Business_Data!$F41/Business_Data!$E41</f>
        <v>4533</v>
      </c>
    </row>
    <row r="42" spans="1:10" x14ac:dyDescent="0.35">
      <c r="A42" s="12">
        <v>45498</v>
      </c>
      <c r="B42" s="8" t="s">
        <v>13</v>
      </c>
      <c r="C42" s="8" t="s">
        <v>8</v>
      </c>
      <c r="D42" s="8" t="s">
        <v>16</v>
      </c>
      <c r="E42" s="8">
        <v>16</v>
      </c>
      <c r="F42" s="8">
        <v>67216</v>
      </c>
      <c r="G42" s="8">
        <v>41085.17</v>
      </c>
      <c r="H42" s="8">
        <f>Business_Data!$F42-Business_Data!$G42</f>
        <v>26130.83</v>
      </c>
      <c r="I42" s="9">
        <f>Business_Data!$H42/Business_Data!$F42</f>
        <v>0.38875907522018571</v>
      </c>
      <c r="J42" s="15">
        <f>Business_Data!$F42/Business_Data!$E42</f>
        <v>4201</v>
      </c>
    </row>
    <row r="43" spans="1:10" x14ac:dyDescent="0.35">
      <c r="A43" s="13">
        <v>45646</v>
      </c>
      <c r="B43" s="10" t="s">
        <v>14</v>
      </c>
      <c r="C43" s="10" t="s">
        <v>8</v>
      </c>
      <c r="D43" s="10" t="s">
        <v>12</v>
      </c>
      <c r="E43" s="10">
        <v>165</v>
      </c>
      <c r="F43" s="10">
        <v>785895</v>
      </c>
      <c r="G43" s="10">
        <v>410142.13</v>
      </c>
      <c r="H43" s="10">
        <f>Business_Data!$F43-Business_Data!$G43</f>
        <v>375752.87</v>
      </c>
      <c r="I43" s="11">
        <f>Business_Data!$H43/Business_Data!$F43</f>
        <v>0.47812095763428958</v>
      </c>
      <c r="J43" s="14">
        <f>Business_Data!$F43/Business_Data!$E43</f>
        <v>4763</v>
      </c>
    </row>
    <row r="44" spans="1:10" x14ac:dyDescent="0.35">
      <c r="A44" s="12">
        <v>45583</v>
      </c>
      <c r="B44" s="8" t="s">
        <v>10</v>
      </c>
      <c r="C44" s="8" t="s">
        <v>8</v>
      </c>
      <c r="D44" s="8" t="s">
        <v>9</v>
      </c>
      <c r="E44" s="8">
        <v>59</v>
      </c>
      <c r="F44" s="8">
        <v>132868</v>
      </c>
      <c r="G44" s="8">
        <v>97257.3</v>
      </c>
      <c r="H44" s="8">
        <f>Business_Data!$F44-Business_Data!$G44</f>
        <v>35610.699999999997</v>
      </c>
      <c r="I44" s="9">
        <f>Business_Data!$H44/Business_Data!$F44</f>
        <v>0.26801562452960831</v>
      </c>
      <c r="J44" s="15">
        <f>Business_Data!$F44/Business_Data!$E44</f>
        <v>2252</v>
      </c>
    </row>
    <row r="45" spans="1:10" x14ac:dyDescent="0.35">
      <c r="A45" s="13">
        <v>45418</v>
      </c>
      <c r="B45" s="10" t="s">
        <v>13</v>
      </c>
      <c r="C45" s="10" t="s">
        <v>15</v>
      </c>
      <c r="D45" s="10" t="s">
        <v>16</v>
      </c>
      <c r="E45" s="10">
        <v>70</v>
      </c>
      <c r="F45" s="10">
        <v>228340</v>
      </c>
      <c r="G45" s="10">
        <v>133890.51999999999</v>
      </c>
      <c r="H45" s="10">
        <f>Business_Data!$F45-Business_Data!$G45</f>
        <v>94449.48000000001</v>
      </c>
      <c r="I45" s="11">
        <f>Business_Data!$H45/Business_Data!$F45</f>
        <v>0.41363528072173078</v>
      </c>
      <c r="J45" s="14">
        <f>Business_Data!$F45/Business_Data!$E45</f>
        <v>3262</v>
      </c>
    </row>
    <row r="46" spans="1:10" x14ac:dyDescent="0.35">
      <c r="A46" s="12">
        <v>45575</v>
      </c>
      <c r="B46" s="8" t="s">
        <v>14</v>
      </c>
      <c r="C46" s="8" t="s">
        <v>11</v>
      </c>
      <c r="D46" s="8" t="s">
        <v>9</v>
      </c>
      <c r="E46" s="8">
        <v>28</v>
      </c>
      <c r="F46" s="8">
        <v>113708</v>
      </c>
      <c r="G46" s="8">
        <v>80270.12</v>
      </c>
      <c r="H46" s="8">
        <f>Business_Data!$F46-Business_Data!$G46</f>
        <v>33437.880000000005</v>
      </c>
      <c r="I46" s="9">
        <f>Business_Data!$H46/Business_Data!$F46</f>
        <v>0.29406796355577447</v>
      </c>
      <c r="J46" s="15">
        <f>Business_Data!$F46/Business_Data!$E46</f>
        <v>4061</v>
      </c>
    </row>
    <row r="47" spans="1:10" x14ac:dyDescent="0.35">
      <c r="A47" s="13">
        <v>45510</v>
      </c>
      <c r="B47" s="10" t="s">
        <v>10</v>
      </c>
      <c r="C47" s="10" t="s">
        <v>15</v>
      </c>
      <c r="D47" s="10" t="s">
        <v>9</v>
      </c>
      <c r="E47" s="10">
        <v>68</v>
      </c>
      <c r="F47" s="10">
        <v>273360</v>
      </c>
      <c r="G47" s="10">
        <v>187463.23</v>
      </c>
      <c r="H47" s="10">
        <f>Business_Data!$F47-Business_Data!$G47</f>
        <v>85896.76999999999</v>
      </c>
      <c r="I47" s="11">
        <f>Business_Data!$H47/Business_Data!$F47</f>
        <v>0.31422581943225047</v>
      </c>
      <c r="J47" s="14">
        <f>Business_Data!$F47/Business_Data!$E47</f>
        <v>4020</v>
      </c>
    </row>
    <row r="48" spans="1:10" x14ac:dyDescent="0.35">
      <c r="A48" s="12">
        <v>45625</v>
      </c>
      <c r="B48" s="8" t="s">
        <v>10</v>
      </c>
      <c r="C48" s="8" t="s">
        <v>15</v>
      </c>
      <c r="D48" s="8" t="s">
        <v>16</v>
      </c>
      <c r="E48" s="8">
        <v>66</v>
      </c>
      <c r="F48" s="8">
        <v>184800</v>
      </c>
      <c r="G48" s="8">
        <v>120333.55</v>
      </c>
      <c r="H48" s="8">
        <f>Business_Data!$F48-Business_Data!$G48</f>
        <v>64466.45</v>
      </c>
      <c r="I48" s="9">
        <f>Business_Data!$H48/Business_Data!$F48</f>
        <v>0.34884442640692637</v>
      </c>
      <c r="J48" s="15">
        <f>Business_Data!$F48/Business_Data!$E48</f>
        <v>2800</v>
      </c>
    </row>
    <row r="49" spans="1:10" x14ac:dyDescent="0.35">
      <c r="A49" s="13">
        <v>45604</v>
      </c>
      <c r="B49" s="10" t="s">
        <v>7</v>
      </c>
      <c r="C49" s="10" t="s">
        <v>8</v>
      </c>
      <c r="D49" s="10" t="s">
        <v>9</v>
      </c>
      <c r="E49" s="10">
        <v>156</v>
      </c>
      <c r="F49" s="10">
        <v>205608</v>
      </c>
      <c r="G49" s="10">
        <v>150329.41</v>
      </c>
      <c r="H49" s="10">
        <f>Business_Data!$F49-Business_Data!$G49</f>
        <v>55278.59</v>
      </c>
      <c r="I49" s="11">
        <f>Business_Data!$H49/Business_Data!$F49</f>
        <v>0.26885427609820628</v>
      </c>
      <c r="J49" s="14">
        <f>Business_Data!$F49/Business_Data!$E49</f>
        <v>1318</v>
      </c>
    </row>
    <row r="50" spans="1:10" x14ac:dyDescent="0.35">
      <c r="A50" s="12">
        <v>45467</v>
      </c>
      <c r="B50" s="8" t="s">
        <v>13</v>
      </c>
      <c r="C50" s="8" t="s">
        <v>15</v>
      </c>
      <c r="D50" s="8" t="s">
        <v>12</v>
      </c>
      <c r="E50" s="8">
        <v>173</v>
      </c>
      <c r="F50" s="8">
        <v>151894</v>
      </c>
      <c r="G50" s="8">
        <v>105016.87</v>
      </c>
      <c r="H50" s="8">
        <f>Business_Data!$F50-Business_Data!$G50</f>
        <v>46877.130000000005</v>
      </c>
      <c r="I50" s="9">
        <f>Business_Data!$H50/Business_Data!$F50</f>
        <v>0.30861739107535519</v>
      </c>
      <c r="J50" s="15">
        <f>Business_Data!$F50/Business_Data!$E50</f>
        <v>878</v>
      </c>
    </row>
    <row r="51" spans="1:10" x14ac:dyDescent="0.35">
      <c r="A51" s="13">
        <v>45556</v>
      </c>
      <c r="B51" s="10" t="s">
        <v>14</v>
      </c>
      <c r="C51" s="10" t="s">
        <v>11</v>
      </c>
      <c r="D51" s="10" t="s">
        <v>16</v>
      </c>
      <c r="E51" s="10">
        <v>8</v>
      </c>
      <c r="F51" s="10">
        <v>37400</v>
      </c>
      <c r="G51" s="10">
        <v>22510.27</v>
      </c>
      <c r="H51" s="10">
        <f>Business_Data!$F51-Business_Data!$G51</f>
        <v>14889.73</v>
      </c>
      <c r="I51" s="11">
        <f>Business_Data!$H51/Business_Data!$F51</f>
        <v>0.39812112299465241</v>
      </c>
      <c r="J51" s="14">
        <f>Business_Data!$F51/Business_Data!$E51</f>
        <v>4675</v>
      </c>
    </row>
    <row r="52" spans="1:10" x14ac:dyDescent="0.35">
      <c r="A52" s="12">
        <v>45305</v>
      </c>
      <c r="B52" s="8" t="s">
        <v>7</v>
      </c>
      <c r="C52" s="8" t="s">
        <v>15</v>
      </c>
      <c r="D52" s="8" t="s">
        <v>16</v>
      </c>
      <c r="E52" s="8">
        <v>164</v>
      </c>
      <c r="F52" s="8">
        <v>87084</v>
      </c>
      <c r="G52" s="8">
        <v>43879.14</v>
      </c>
      <c r="H52" s="8">
        <f>Business_Data!$F52-Business_Data!$G52</f>
        <v>43204.86</v>
      </c>
      <c r="I52" s="9">
        <f>Business_Data!$H52/Business_Data!$F52</f>
        <v>0.49612856552294338</v>
      </c>
      <c r="J52" s="15">
        <f>Business_Data!$F52/Business_Data!$E52</f>
        <v>531</v>
      </c>
    </row>
    <row r="53" spans="1:10" x14ac:dyDescent="0.35">
      <c r="A53" s="13">
        <v>45447</v>
      </c>
      <c r="B53" s="10" t="s">
        <v>13</v>
      </c>
      <c r="C53" s="10" t="s">
        <v>15</v>
      </c>
      <c r="D53" s="10" t="s">
        <v>12</v>
      </c>
      <c r="E53" s="10">
        <v>16</v>
      </c>
      <c r="F53" s="10">
        <v>75776</v>
      </c>
      <c r="G53" s="10">
        <v>50224.800000000003</v>
      </c>
      <c r="H53" s="10">
        <f>Business_Data!$F53-Business_Data!$G53</f>
        <v>25551.199999999997</v>
      </c>
      <c r="I53" s="11">
        <f>Business_Data!$H53/Business_Data!$F53</f>
        <v>0.33719383445945944</v>
      </c>
      <c r="J53" s="14">
        <f>Business_Data!$F53/Business_Data!$E53</f>
        <v>4736</v>
      </c>
    </row>
    <row r="54" spans="1:10" x14ac:dyDescent="0.35">
      <c r="A54" s="12">
        <v>45475</v>
      </c>
      <c r="B54" s="8" t="s">
        <v>7</v>
      </c>
      <c r="C54" s="8" t="s">
        <v>15</v>
      </c>
      <c r="D54" s="8" t="s">
        <v>16</v>
      </c>
      <c r="E54" s="8">
        <v>36</v>
      </c>
      <c r="F54" s="8">
        <v>37656</v>
      </c>
      <c r="G54" s="8">
        <v>29778.36</v>
      </c>
      <c r="H54" s="8">
        <f>Business_Data!$F54-Business_Data!$G54</f>
        <v>7877.6399999999994</v>
      </c>
      <c r="I54" s="9">
        <f>Business_Data!$H54/Business_Data!$F54</f>
        <v>0.20920012746972594</v>
      </c>
      <c r="J54" s="15">
        <f>Business_Data!$F54/Business_Data!$E54</f>
        <v>1046</v>
      </c>
    </row>
    <row r="55" spans="1:10" x14ac:dyDescent="0.35">
      <c r="A55" s="13">
        <v>45512</v>
      </c>
      <c r="B55" s="10" t="s">
        <v>13</v>
      </c>
      <c r="C55" s="10" t="s">
        <v>11</v>
      </c>
      <c r="D55" s="10" t="s">
        <v>9</v>
      </c>
      <c r="E55" s="10">
        <v>48</v>
      </c>
      <c r="F55" s="10">
        <v>195408</v>
      </c>
      <c r="G55" s="10">
        <v>114561.81</v>
      </c>
      <c r="H55" s="10">
        <f>Business_Data!$F55-Business_Data!$G55</f>
        <v>80846.19</v>
      </c>
      <c r="I55" s="11">
        <f>Business_Data!$H55/Business_Data!$F55</f>
        <v>0.41373019528371408</v>
      </c>
      <c r="J55" s="14">
        <f>Business_Data!$F55/Business_Data!$E55</f>
        <v>4071</v>
      </c>
    </row>
    <row r="56" spans="1:10" x14ac:dyDescent="0.35">
      <c r="A56" s="12">
        <v>45400</v>
      </c>
      <c r="B56" s="8" t="s">
        <v>10</v>
      </c>
      <c r="C56" s="8" t="s">
        <v>8</v>
      </c>
      <c r="D56" s="8" t="s">
        <v>12</v>
      </c>
      <c r="E56" s="8">
        <v>168</v>
      </c>
      <c r="F56" s="8">
        <v>140280</v>
      </c>
      <c r="G56" s="8">
        <v>102932.89</v>
      </c>
      <c r="H56" s="8">
        <f>Business_Data!$F56-Business_Data!$G56</f>
        <v>37347.11</v>
      </c>
      <c r="I56" s="9">
        <f>Business_Data!$H56/Business_Data!$F56</f>
        <v>0.26623260621613914</v>
      </c>
      <c r="J56" s="15">
        <f>Business_Data!$F56/Business_Data!$E56</f>
        <v>835</v>
      </c>
    </row>
    <row r="57" spans="1:10" x14ac:dyDescent="0.35">
      <c r="A57" s="13">
        <v>45328</v>
      </c>
      <c r="B57" s="10" t="s">
        <v>13</v>
      </c>
      <c r="C57" s="10" t="s">
        <v>8</v>
      </c>
      <c r="D57" s="10" t="s">
        <v>16</v>
      </c>
      <c r="E57" s="10">
        <v>102</v>
      </c>
      <c r="F57" s="10">
        <v>266628</v>
      </c>
      <c r="G57" s="10">
        <v>168311.25</v>
      </c>
      <c r="H57" s="10">
        <f>Business_Data!$F57-Business_Data!$G57</f>
        <v>98316.75</v>
      </c>
      <c r="I57" s="11">
        <f>Business_Data!$H57/Business_Data!$F57</f>
        <v>0.36874127998559791</v>
      </c>
      <c r="J57" s="14">
        <f>Business_Data!$F57/Business_Data!$E57</f>
        <v>2614</v>
      </c>
    </row>
    <row r="58" spans="1:10" x14ac:dyDescent="0.35">
      <c r="A58" s="12">
        <v>45588</v>
      </c>
      <c r="B58" s="8" t="s">
        <v>14</v>
      </c>
      <c r="C58" s="8" t="s">
        <v>15</v>
      </c>
      <c r="D58" s="8" t="s">
        <v>12</v>
      </c>
      <c r="E58" s="8">
        <v>130</v>
      </c>
      <c r="F58" s="8">
        <v>586430</v>
      </c>
      <c r="G58" s="8">
        <v>429245.24</v>
      </c>
      <c r="H58" s="8">
        <f>Business_Data!$F58-Business_Data!$G58</f>
        <v>157184.76</v>
      </c>
      <c r="I58" s="9">
        <f>Business_Data!$H58/Business_Data!$F58</f>
        <v>0.26803669662193275</v>
      </c>
      <c r="J58" s="15">
        <f>Business_Data!$F58/Business_Data!$E58</f>
        <v>4511</v>
      </c>
    </row>
    <row r="59" spans="1:10" x14ac:dyDescent="0.35">
      <c r="A59" s="13">
        <v>45500</v>
      </c>
      <c r="B59" s="10" t="s">
        <v>7</v>
      </c>
      <c r="C59" s="10" t="s">
        <v>8</v>
      </c>
      <c r="D59" s="10" t="s">
        <v>16</v>
      </c>
      <c r="E59" s="10">
        <v>183</v>
      </c>
      <c r="F59" s="10">
        <v>200019</v>
      </c>
      <c r="G59" s="10">
        <v>107155.55</v>
      </c>
      <c r="H59" s="10">
        <f>Business_Data!$F59-Business_Data!$G59</f>
        <v>92863.45</v>
      </c>
      <c r="I59" s="11">
        <f>Business_Data!$H59/Business_Data!$F59</f>
        <v>0.46427314405131509</v>
      </c>
      <c r="J59" s="14">
        <f>Business_Data!$F59/Business_Data!$E59</f>
        <v>1093</v>
      </c>
    </row>
    <row r="60" spans="1:10" x14ac:dyDescent="0.35">
      <c r="A60" s="12">
        <v>45483</v>
      </c>
      <c r="B60" s="8" t="s">
        <v>13</v>
      </c>
      <c r="C60" s="8" t="s">
        <v>15</v>
      </c>
      <c r="D60" s="8" t="s">
        <v>16</v>
      </c>
      <c r="E60" s="8">
        <v>148</v>
      </c>
      <c r="F60" s="8">
        <v>295112</v>
      </c>
      <c r="G60" s="8">
        <v>248014.75</v>
      </c>
      <c r="H60" s="8">
        <f>Business_Data!$F60-Business_Data!$G60</f>
        <v>47097.25</v>
      </c>
      <c r="I60" s="9">
        <f>Business_Data!$H60/Business_Data!$F60</f>
        <v>0.15959110439426388</v>
      </c>
      <c r="J60" s="15">
        <f>Business_Data!$F60/Business_Data!$E60</f>
        <v>1994</v>
      </c>
    </row>
    <row r="61" spans="1:10" x14ac:dyDescent="0.35">
      <c r="A61" s="13">
        <v>45609</v>
      </c>
      <c r="B61" s="10" t="s">
        <v>7</v>
      </c>
      <c r="C61" s="10" t="s">
        <v>11</v>
      </c>
      <c r="D61" s="10" t="s">
        <v>9</v>
      </c>
      <c r="E61" s="10">
        <v>182</v>
      </c>
      <c r="F61" s="10">
        <v>663208</v>
      </c>
      <c r="G61" s="10">
        <v>474667.19</v>
      </c>
      <c r="H61" s="10">
        <f>Business_Data!$F61-Business_Data!$G61</f>
        <v>188540.81</v>
      </c>
      <c r="I61" s="11">
        <f>Business_Data!$H61/Business_Data!$F61</f>
        <v>0.28428609124136017</v>
      </c>
      <c r="J61" s="14">
        <f>Business_Data!$F61/Business_Data!$E61</f>
        <v>3644</v>
      </c>
    </row>
    <row r="62" spans="1:10" x14ac:dyDescent="0.35">
      <c r="A62" s="12">
        <v>45447</v>
      </c>
      <c r="B62" s="8" t="s">
        <v>7</v>
      </c>
      <c r="C62" s="8" t="s">
        <v>8</v>
      </c>
      <c r="D62" s="8" t="s">
        <v>16</v>
      </c>
      <c r="E62" s="8">
        <v>16</v>
      </c>
      <c r="F62" s="8">
        <v>39968</v>
      </c>
      <c r="G62" s="8">
        <v>22836.01</v>
      </c>
      <c r="H62" s="8">
        <f>Business_Data!$F62-Business_Data!$G62</f>
        <v>17131.990000000002</v>
      </c>
      <c r="I62" s="9">
        <f>Business_Data!$H62/Business_Data!$F62</f>
        <v>0.42864266413130508</v>
      </c>
      <c r="J62" s="15">
        <f>Business_Data!$F62/Business_Data!$E62</f>
        <v>2498</v>
      </c>
    </row>
    <row r="63" spans="1:10" x14ac:dyDescent="0.35">
      <c r="A63" s="13">
        <v>45466</v>
      </c>
      <c r="B63" s="10" t="s">
        <v>13</v>
      </c>
      <c r="C63" s="10" t="s">
        <v>8</v>
      </c>
      <c r="D63" s="10" t="s">
        <v>16</v>
      </c>
      <c r="E63" s="10">
        <v>83</v>
      </c>
      <c r="F63" s="10">
        <v>371508</v>
      </c>
      <c r="G63" s="10">
        <v>314100.53000000003</v>
      </c>
      <c r="H63" s="10">
        <f>Business_Data!$F63-Business_Data!$G63</f>
        <v>57407.469999999972</v>
      </c>
      <c r="I63" s="11">
        <f>Business_Data!$H63/Business_Data!$F63</f>
        <v>0.15452552838700639</v>
      </c>
      <c r="J63" s="14">
        <f>Business_Data!$F63/Business_Data!$E63</f>
        <v>4476</v>
      </c>
    </row>
    <row r="64" spans="1:10" x14ac:dyDescent="0.35">
      <c r="A64" s="12">
        <v>45430</v>
      </c>
      <c r="B64" s="8" t="s">
        <v>10</v>
      </c>
      <c r="C64" s="8" t="s">
        <v>15</v>
      </c>
      <c r="D64" s="8" t="s">
        <v>9</v>
      </c>
      <c r="E64" s="8">
        <v>117</v>
      </c>
      <c r="F64" s="8">
        <v>449280</v>
      </c>
      <c r="G64" s="8">
        <v>298863.25</v>
      </c>
      <c r="H64" s="8">
        <f>Business_Data!$F64-Business_Data!$G64</f>
        <v>150416.75</v>
      </c>
      <c r="I64" s="9">
        <f>Business_Data!$H64/Business_Data!$F64</f>
        <v>0.33479511663105416</v>
      </c>
      <c r="J64" s="15">
        <f>Business_Data!$F64/Business_Data!$E64</f>
        <v>3840</v>
      </c>
    </row>
    <row r="65" spans="1:10" x14ac:dyDescent="0.35">
      <c r="A65" s="13">
        <v>45408</v>
      </c>
      <c r="B65" s="10" t="s">
        <v>14</v>
      </c>
      <c r="C65" s="10" t="s">
        <v>8</v>
      </c>
      <c r="D65" s="10" t="s">
        <v>12</v>
      </c>
      <c r="E65" s="10">
        <v>143</v>
      </c>
      <c r="F65" s="10">
        <v>422422</v>
      </c>
      <c r="G65" s="10">
        <v>230490.28</v>
      </c>
      <c r="H65" s="10">
        <f>Business_Data!$F65-Business_Data!$G65</f>
        <v>191931.72</v>
      </c>
      <c r="I65" s="11">
        <f>Business_Data!$H65/Business_Data!$F65</f>
        <v>0.45436014222744081</v>
      </c>
      <c r="J65" s="14">
        <f>Business_Data!$F65/Business_Data!$E65</f>
        <v>2954</v>
      </c>
    </row>
    <row r="66" spans="1:10" x14ac:dyDescent="0.35">
      <c r="A66" s="12">
        <v>45643</v>
      </c>
      <c r="B66" s="8" t="s">
        <v>14</v>
      </c>
      <c r="C66" s="8" t="s">
        <v>11</v>
      </c>
      <c r="D66" s="8" t="s">
        <v>16</v>
      </c>
      <c r="E66" s="8">
        <v>195</v>
      </c>
      <c r="F66" s="8">
        <v>192660</v>
      </c>
      <c r="G66" s="8">
        <v>100860.56</v>
      </c>
      <c r="H66" s="8">
        <f>Business_Data!$F66-Business_Data!$G66</f>
        <v>91799.44</v>
      </c>
      <c r="I66" s="9">
        <f>Business_Data!$H66/Business_Data!$F66</f>
        <v>0.47648416900238766</v>
      </c>
      <c r="J66" s="15">
        <f>Business_Data!$F66/Business_Data!$E66</f>
        <v>988</v>
      </c>
    </row>
    <row r="67" spans="1:10" x14ac:dyDescent="0.35">
      <c r="A67" s="13">
        <v>45416</v>
      </c>
      <c r="B67" s="10" t="s">
        <v>14</v>
      </c>
      <c r="C67" s="10" t="s">
        <v>11</v>
      </c>
      <c r="D67" s="10" t="s">
        <v>9</v>
      </c>
      <c r="E67" s="10">
        <v>110</v>
      </c>
      <c r="F67" s="10">
        <v>406560</v>
      </c>
      <c r="G67" s="10">
        <v>324142.73</v>
      </c>
      <c r="H67" s="10">
        <f>Business_Data!$F67-Business_Data!$G67</f>
        <v>82417.270000000019</v>
      </c>
      <c r="I67" s="11">
        <f>Business_Data!$H67/Business_Data!$F67</f>
        <v>0.20271859012199925</v>
      </c>
      <c r="J67" s="14">
        <f>Business_Data!$F67/Business_Data!$E67</f>
        <v>3696</v>
      </c>
    </row>
    <row r="68" spans="1:10" x14ac:dyDescent="0.35">
      <c r="A68" s="12">
        <v>45638</v>
      </c>
      <c r="B68" s="8" t="s">
        <v>14</v>
      </c>
      <c r="C68" s="8" t="s">
        <v>15</v>
      </c>
      <c r="D68" s="8" t="s">
        <v>16</v>
      </c>
      <c r="E68" s="8">
        <v>46</v>
      </c>
      <c r="F68" s="8">
        <v>83950</v>
      </c>
      <c r="G68" s="8">
        <v>55349.09</v>
      </c>
      <c r="H68" s="8">
        <f>Business_Data!$F68-Business_Data!$G68</f>
        <v>28600.910000000003</v>
      </c>
      <c r="I68" s="9">
        <f>Business_Data!$H68/Business_Data!$F68</f>
        <v>0.34068981536628951</v>
      </c>
      <c r="J68" s="15">
        <f>Business_Data!$F68/Business_Data!$E68</f>
        <v>1825</v>
      </c>
    </row>
    <row r="69" spans="1:10" x14ac:dyDescent="0.35">
      <c r="A69" s="13">
        <v>45433</v>
      </c>
      <c r="B69" s="10" t="s">
        <v>14</v>
      </c>
      <c r="C69" s="10" t="s">
        <v>8</v>
      </c>
      <c r="D69" s="10" t="s">
        <v>12</v>
      </c>
      <c r="E69" s="10">
        <v>114</v>
      </c>
      <c r="F69" s="10">
        <v>230964</v>
      </c>
      <c r="G69" s="10">
        <v>169635.31</v>
      </c>
      <c r="H69" s="10">
        <f>Business_Data!$F69-Business_Data!$G69</f>
        <v>61328.69</v>
      </c>
      <c r="I69" s="11">
        <f>Business_Data!$H69/Business_Data!$F69</f>
        <v>0.26553354635354426</v>
      </c>
      <c r="J69" s="14">
        <f>Business_Data!$F69/Business_Data!$E69</f>
        <v>2026</v>
      </c>
    </row>
    <row r="70" spans="1:10" x14ac:dyDescent="0.35">
      <c r="A70" s="12">
        <v>45342</v>
      </c>
      <c r="B70" s="8" t="s">
        <v>7</v>
      </c>
      <c r="C70" s="8" t="s">
        <v>15</v>
      </c>
      <c r="D70" s="8" t="s">
        <v>16</v>
      </c>
      <c r="E70" s="8">
        <v>20</v>
      </c>
      <c r="F70" s="8">
        <v>19220</v>
      </c>
      <c r="G70" s="8">
        <v>15527.92</v>
      </c>
      <c r="H70" s="8">
        <f>Business_Data!$F70-Business_Data!$G70</f>
        <v>3692.08</v>
      </c>
      <c r="I70" s="9">
        <f>Business_Data!$H70/Business_Data!$F70</f>
        <v>0.19209573361082205</v>
      </c>
      <c r="J70" s="15">
        <f>Business_Data!$F70/Business_Data!$E70</f>
        <v>961</v>
      </c>
    </row>
    <row r="71" spans="1:10" x14ac:dyDescent="0.35">
      <c r="A71" s="13">
        <v>45625</v>
      </c>
      <c r="B71" s="10" t="s">
        <v>10</v>
      </c>
      <c r="C71" s="10" t="s">
        <v>8</v>
      </c>
      <c r="D71" s="10" t="s">
        <v>12</v>
      </c>
      <c r="E71" s="10">
        <v>145</v>
      </c>
      <c r="F71" s="10">
        <v>637130</v>
      </c>
      <c r="G71" s="10">
        <v>398437.07</v>
      </c>
      <c r="H71" s="10">
        <f>Business_Data!$F71-Business_Data!$G71</f>
        <v>238692.93</v>
      </c>
      <c r="I71" s="11">
        <f>Business_Data!$H71/Business_Data!$F71</f>
        <v>0.37463771914679894</v>
      </c>
      <c r="J71" s="14">
        <f>Business_Data!$F71/Business_Data!$E71</f>
        <v>4394</v>
      </c>
    </row>
    <row r="72" spans="1:10" x14ac:dyDescent="0.35">
      <c r="A72" s="12">
        <v>45601</v>
      </c>
      <c r="B72" s="8" t="s">
        <v>7</v>
      </c>
      <c r="C72" s="8" t="s">
        <v>11</v>
      </c>
      <c r="D72" s="8" t="s">
        <v>9</v>
      </c>
      <c r="E72" s="8">
        <v>69</v>
      </c>
      <c r="F72" s="8">
        <v>109986</v>
      </c>
      <c r="G72" s="8">
        <v>76023.64</v>
      </c>
      <c r="H72" s="8">
        <f>Business_Data!$F72-Business_Data!$G72</f>
        <v>33962.36</v>
      </c>
      <c r="I72" s="9">
        <f>Business_Data!$H72/Business_Data!$F72</f>
        <v>0.30878802756714491</v>
      </c>
      <c r="J72" s="15">
        <f>Business_Data!$F72/Business_Data!$E72</f>
        <v>1594</v>
      </c>
    </row>
    <row r="73" spans="1:10" x14ac:dyDescent="0.35">
      <c r="A73" s="13">
        <v>45336</v>
      </c>
      <c r="B73" s="10" t="s">
        <v>7</v>
      </c>
      <c r="C73" s="10" t="s">
        <v>8</v>
      </c>
      <c r="D73" s="10" t="s">
        <v>9</v>
      </c>
      <c r="E73" s="10">
        <v>28</v>
      </c>
      <c r="F73" s="10">
        <v>107828</v>
      </c>
      <c r="G73" s="10">
        <v>59051.91</v>
      </c>
      <c r="H73" s="10">
        <f>Business_Data!$F73-Business_Data!$G73</f>
        <v>48776.09</v>
      </c>
      <c r="I73" s="11">
        <f>Business_Data!$H73/Business_Data!$F73</f>
        <v>0.45235087361353266</v>
      </c>
      <c r="J73" s="14">
        <f>Business_Data!$F73/Business_Data!$E73</f>
        <v>3851</v>
      </c>
    </row>
    <row r="74" spans="1:10" x14ac:dyDescent="0.35">
      <c r="A74" s="12">
        <v>45526</v>
      </c>
      <c r="B74" s="8" t="s">
        <v>13</v>
      </c>
      <c r="C74" s="8" t="s">
        <v>11</v>
      </c>
      <c r="D74" s="8" t="s">
        <v>9</v>
      </c>
      <c r="E74" s="8">
        <v>10</v>
      </c>
      <c r="F74" s="8">
        <v>44410</v>
      </c>
      <c r="G74" s="8">
        <v>32856.42</v>
      </c>
      <c r="H74" s="8">
        <f>Business_Data!$F74-Business_Data!$G74</f>
        <v>11553.580000000002</v>
      </c>
      <c r="I74" s="9">
        <f>Business_Data!$H74/Business_Data!$F74</f>
        <v>0.26015717180815134</v>
      </c>
      <c r="J74" s="15">
        <f>Business_Data!$F74/Business_Data!$E74</f>
        <v>4441</v>
      </c>
    </row>
    <row r="75" spans="1:10" x14ac:dyDescent="0.35">
      <c r="A75" s="13">
        <v>45649</v>
      </c>
      <c r="B75" s="10" t="s">
        <v>7</v>
      </c>
      <c r="C75" s="10" t="s">
        <v>8</v>
      </c>
      <c r="D75" s="10" t="s">
        <v>12</v>
      </c>
      <c r="E75" s="10">
        <v>191</v>
      </c>
      <c r="F75" s="10">
        <v>914508</v>
      </c>
      <c r="G75" s="10">
        <v>523584.51</v>
      </c>
      <c r="H75" s="10">
        <f>Business_Data!$F75-Business_Data!$G75</f>
        <v>390923.49</v>
      </c>
      <c r="I75" s="11">
        <f>Business_Data!$H75/Business_Data!$F75</f>
        <v>0.42746863887467357</v>
      </c>
      <c r="J75" s="14">
        <f>Business_Data!$F75/Business_Data!$E75</f>
        <v>4788</v>
      </c>
    </row>
    <row r="76" spans="1:10" x14ac:dyDescent="0.35">
      <c r="A76" s="12">
        <v>45317</v>
      </c>
      <c r="B76" s="8" t="s">
        <v>13</v>
      </c>
      <c r="C76" s="8" t="s">
        <v>8</v>
      </c>
      <c r="D76" s="8" t="s">
        <v>12</v>
      </c>
      <c r="E76" s="8">
        <v>88</v>
      </c>
      <c r="F76" s="8">
        <v>234872</v>
      </c>
      <c r="G76" s="8">
        <v>195612.99</v>
      </c>
      <c r="H76" s="8">
        <f>Business_Data!$F76-Business_Data!$G76</f>
        <v>39259.010000000009</v>
      </c>
      <c r="I76" s="9">
        <f>Business_Data!$H76/Business_Data!$F76</f>
        <v>0.16715066078544913</v>
      </c>
      <c r="J76" s="15">
        <f>Business_Data!$F76/Business_Data!$E76</f>
        <v>2669</v>
      </c>
    </row>
    <row r="77" spans="1:10" x14ac:dyDescent="0.35">
      <c r="A77" s="13">
        <v>45569</v>
      </c>
      <c r="B77" s="10" t="s">
        <v>10</v>
      </c>
      <c r="C77" s="10" t="s">
        <v>15</v>
      </c>
      <c r="D77" s="10" t="s">
        <v>9</v>
      </c>
      <c r="E77" s="10">
        <v>187</v>
      </c>
      <c r="F77" s="10">
        <v>673013</v>
      </c>
      <c r="G77" s="10">
        <v>514501.66</v>
      </c>
      <c r="H77" s="10">
        <f>Business_Data!$F77-Business_Data!$G77</f>
        <v>158511.34000000003</v>
      </c>
      <c r="I77" s="11">
        <f>Business_Data!$H77/Business_Data!$F77</f>
        <v>0.23552493042482095</v>
      </c>
      <c r="J77" s="14">
        <f>Business_Data!$F77/Business_Data!$E77</f>
        <v>3599</v>
      </c>
    </row>
    <row r="78" spans="1:10" x14ac:dyDescent="0.35">
      <c r="A78" s="12">
        <v>45612</v>
      </c>
      <c r="B78" s="8" t="s">
        <v>14</v>
      </c>
      <c r="C78" s="8" t="s">
        <v>15</v>
      </c>
      <c r="D78" s="8" t="s">
        <v>16</v>
      </c>
      <c r="E78" s="8">
        <v>33</v>
      </c>
      <c r="F78" s="8">
        <v>137841</v>
      </c>
      <c r="G78" s="8">
        <v>90118.25</v>
      </c>
      <c r="H78" s="8">
        <f>Business_Data!$F78-Business_Data!$G78</f>
        <v>47722.75</v>
      </c>
      <c r="I78" s="9">
        <f>Business_Data!$H78/Business_Data!$F78</f>
        <v>0.34621592994827372</v>
      </c>
      <c r="J78" s="15">
        <f>Business_Data!$F78/Business_Data!$E78</f>
        <v>4177</v>
      </c>
    </row>
    <row r="79" spans="1:10" x14ac:dyDescent="0.35">
      <c r="A79" s="13">
        <v>45325</v>
      </c>
      <c r="B79" s="10" t="s">
        <v>14</v>
      </c>
      <c r="C79" s="10" t="s">
        <v>15</v>
      </c>
      <c r="D79" s="10" t="s">
        <v>16</v>
      </c>
      <c r="E79" s="10">
        <v>166</v>
      </c>
      <c r="F79" s="10">
        <v>182600</v>
      </c>
      <c r="G79" s="10">
        <v>140987.13</v>
      </c>
      <c r="H79" s="10">
        <f>Business_Data!$F79-Business_Data!$G79</f>
        <v>41612.869999999995</v>
      </c>
      <c r="I79" s="11">
        <f>Business_Data!$H79/Business_Data!$F79</f>
        <v>0.22789085432639647</v>
      </c>
      <c r="J79" s="14">
        <f>Business_Data!$F79/Business_Data!$E79</f>
        <v>1100</v>
      </c>
    </row>
    <row r="80" spans="1:10" x14ac:dyDescent="0.35">
      <c r="A80" s="12">
        <v>45520</v>
      </c>
      <c r="B80" s="8" t="s">
        <v>13</v>
      </c>
      <c r="C80" s="8" t="s">
        <v>15</v>
      </c>
      <c r="D80" s="8" t="s">
        <v>9</v>
      </c>
      <c r="E80" s="8">
        <v>55</v>
      </c>
      <c r="F80" s="8">
        <v>157135</v>
      </c>
      <c r="G80" s="8">
        <v>128770.75</v>
      </c>
      <c r="H80" s="8">
        <f>Business_Data!$F80-Business_Data!$G80</f>
        <v>28364.25</v>
      </c>
      <c r="I80" s="9">
        <f>Business_Data!$H80/Business_Data!$F80</f>
        <v>0.18050879816718107</v>
      </c>
      <c r="J80" s="15">
        <f>Business_Data!$F80/Business_Data!$E80</f>
        <v>2857</v>
      </c>
    </row>
    <row r="81" spans="1:10" x14ac:dyDescent="0.35">
      <c r="A81" s="13">
        <v>45657</v>
      </c>
      <c r="B81" s="10" t="s">
        <v>10</v>
      </c>
      <c r="C81" s="10" t="s">
        <v>11</v>
      </c>
      <c r="D81" s="10" t="s">
        <v>9</v>
      </c>
      <c r="E81" s="10">
        <v>71</v>
      </c>
      <c r="F81" s="10">
        <v>268806</v>
      </c>
      <c r="G81" s="10">
        <v>136351</v>
      </c>
      <c r="H81" s="10">
        <f>Business_Data!$F81-Business_Data!$G81</f>
        <v>132455</v>
      </c>
      <c r="I81" s="11">
        <f>Business_Data!$H81/Business_Data!$F81</f>
        <v>0.49275313795078979</v>
      </c>
      <c r="J81" s="14">
        <f>Business_Data!$F81/Business_Data!$E81</f>
        <v>3786</v>
      </c>
    </row>
    <row r="82" spans="1:10" x14ac:dyDescent="0.35">
      <c r="A82" s="12">
        <v>45488</v>
      </c>
      <c r="B82" s="8" t="s">
        <v>13</v>
      </c>
      <c r="C82" s="8" t="s">
        <v>8</v>
      </c>
      <c r="D82" s="8" t="s">
        <v>9</v>
      </c>
      <c r="E82" s="8">
        <v>139</v>
      </c>
      <c r="F82" s="8">
        <v>679571</v>
      </c>
      <c r="G82" s="8">
        <v>477254.25</v>
      </c>
      <c r="H82" s="8">
        <f>Business_Data!$F82-Business_Data!$G82</f>
        <v>202316.75</v>
      </c>
      <c r="I82" s="9">
        <f>Business_Data!$H82/Business_Data!$F82</f>
        <v>0.29771245388634887</v>
      </c>
      <c r="J82" s="15">
        <f>Business_Data!$F82/Business_Data!$E82</f>
        <v>4889</v>
      </c>
    </row>
    <row r="83" spans="1:10" x14ac:dyDescent="0.35">
      <c r="A83" s="13">
        <v>45439</v>
      </c>
      <c r="B83" s="10" t="s">
        <v>10</v>
      </c>
      <c r="C83" s="10" t="s">
        <v>15</v>
      </c>
      <c r="D83" s="10" t="s">
        <v>16</v>
      </c>
      <c r="E83" s="10">
        <v>128</v>
      </c>
      <c r="F83" s="10">
        <v>415488</v>
      </c>
      <c r="G83" s="10">
        <v>286274.96000000002</v>
      </c>
      <c r="H83" s="10">
        <f>Business_Data!$F83-Business_Data!$G83</f>
        <v>129213.03999999998</v>
      </c>
      <c r="I83" s="11">
        <f>Business_Data!$H83/Business_Data!$F83</f>
        <v>0.31099102741836099</v>
      </c>
      <c r="J83" s="14">
        <f>Business_Data!$F83/Business_Data!$E83</f>
        <v>3246</v>
      </c>
    </row>
    <row r="84" spans="1:10" x14ac:dyDescent="0.35">
      <c r="A84" s="12">
        <v>45608</v>
      </c>
      <c r="B84" s="8" t="s">
        <v>14</v>
      </c>
      <c r="C84" s="8" t="s">
        <v>8</v>
      </c>
      <c r="D84" s="8" t="s">
        <v>12</v>
      </c>
      <c r="E84" s="8">
        <v>17</v>
      </c>
      <c r="F84" s="8">
        <v>29070</v>
      </c>
      <c r="G84" s="8">
        <v>21047.05</v>
      </c>
      <c r="H84" s="8">
        <f>Business_Data!$F84-Business_Data!$G84</f>
        <v>8022.9500000000007</v>
      </c>
      <c r="I84" s="9">
        <f>Business_Data!$H84/Business_Data!$F84</f>
        <v>0.27598727210182322</v>
      </c>
      <c r="J84" s="15">
        <f>Business_Data!$F84/Business_Data!$E84</f>
        <v>1710</v>
      </c>
    </row>
    <row r="85" spans="1:10" x14ac:dyDescent="0.35">
      <c r="A85" s="13">
        <v>45475</v>
      </c>
      <c r="B85" s="10" t="s">
        <v>13</v>
      </c>
      <c r="C85" s="10" t="s">
        <v>8</v>
      </c>
      <c r="D85" s="10" t="s">
        <v>16</v>
      </c>
      <c r="E85" s="10">
        <v>54</v>
      </c>
      <c r="F85" s="10">
        <v>49356</v>
      </c>
      <c r="G85" s="10">
        <v>25688.94</v>
      </c>
      <c r="H85" s="10">
        <f>Business_Data!$F85-Business_Data!$G85</f>
        <v>23667.06</v>
      </c>
      <c r="I85" s="11">
        <f>Business_Data!$H85/Business_Data!$F85</f>
        <v>0.47951738390469245</v>
      </c>
      <c r="J85" s="14">
        <f>Business_Data!$F85/Business_Data!$E85</f>
        <v>914</v>
      </c>
    </row>
    <row r="86" spans="1:10" x14ac:dyDescent="0.35">
      <c r="A86" s="12">
        <v>45335</v>
      </c>
      <c r="B86" s="8" t="s">
        <v>10</v>
      </c>
      <c r="C86" s="8" t="s">
        <v>8</v>
      </c>
      <c r="D86" s="8" t="s">
        <v>12</v>
      </c>
      <c r="E86" s="8">
        <v>200</v>
      </c>
      <c r="F86" s="8">
        <v>996800</v>
      </c>
      <c r="G86" s="8">
        <v>634096.59</v>
      </c>
      <c r="H86" s="8">
        <f>Business_Data!$F86-Business_Data!$G86</f>
        <v>362703.41000000003</v>
      </c>
      <c r="I86" s="9">
        <f>Business_Data!$H86/Business_Data!$F86</f>
        <v>0.36386778691813809</v>
      </c>
      <c r="J86" s="15">
        <f>Business_Data!$F86/Business_Data!$E86</f>
        <v>4984</v>
      </c>
    </row>
    <row r="87" spans="1:10" x14ac:dyDescent="0.35">
      <c r="A87" s="13">
        <v>45345</v>
      </c>
      <c r="B87" s="10" t="s">
        <v>7</v>
      </c>
      <c r="C87" s="10" t="s">
        <v>8</v>
      </c>
      <c r="D87" s="10" t="s">
        <v>9</v>
      </c>
      <c r="E87" s="10">
        <v>112</v>
      </c>
      <c r="F87" s="10">
        <v>486528</v>
      </c>
      <c r="G87" s="10">
        <v>402700.42</v>
      </c>
      <c r="H87" s="10">
        <f>Business_Data!$F87-Business_Data!$G87</f>
        <v>83827.580000000016</v>
      </c>
      <c r="I87" s="11">
        <f>Business_Data!$H87/Business_Data!$F87</f>
        <v>0.17229754505393322</v>
      </c>
      <c r="J87" s="14">
        <f>Business_Data!$F87/Business_Data!$E87</f>
        <v>4344</v>
      </c>
    </row>
    <row r="88" spans="1:10" x14ac:dyDescent="0.35">
      <c r="A88" s="12">
        <v>45504</v>
      </c>
      <c r="B88" s="8" t="s">
        <v>13</v>
      </c>
      <c r="C88" s="8" t="s">
        <v>8</v>
      </c>
      <c r="D88" s="8" t="s">
        <v>16</v>
      </c>
      <c r="E88" s="8">
        <v>109</v>
      </c>
      <c r="F88" s="8">
        <v>88072</v>
      </c>
      <c r="G88" s="8">
        <v>62824.52</v>
      </c>
      <c r="H88" s="8">
        <f>Business_Data!$F88-Business_Data!$G88</f>
        <v>25247.480000000003</v>
      </c>
      <c r="I88" s="9">
        <f>Business_Data!$H88/Business_Data!$F88</f>
        <v>0.28666863475338361</v>
      </c>
      <c r="J88" s="15">
        <f>Business_Data!$F88/Business_Data!$E88</f>
        <v>808</v>
      </c>
    </row>
    <row r="89" spans="1:10" x14ac:dyDescent="0.35">
      <c r="A89" s="13">
        <v>45486</v>
      </c>
      <c r="B89" s="10" t="s">
        <v>14</v>
      </c>
      <c r="C89" s="10" t="s">
        <v>8</v>
      </c>
      <c r="D89" s="10" t="s">
        <v>16</v>
      </c>
      <c r="E89" s="10">
        <v>37</v>
      </c>
      <c r="F89" s="10">
        <v>72594</v>
      </c>
      <c r="G89" s="10">
        <v>45507.79</v>
      </c>
      <c r="H89" s="10">
        <f>Business_Data!$F89-Business_Data!$G89</f>
        <v>27086.21</v>
      </c>
      <c r="I89" s="11">
        <f>Business_Data!$H89/Business_Data!$F89</f>
        <v>0.37311912830261451</v>
      </c>
      <c r="J89" s="14">
        <f>Business_Data!$F89/Business_Data!$E89</f>
        <v>1962</v>
      </c>
    </row>
    <row r="90" spans="1:10" x14ac:dyDescent="0.35">
      <c r="A90" s="12">
        <v>45455</v>
      </c>
      <c r="B90" s="8" t="s">
        <v>7</v>
      </c>
      <c r="C90" s="8" t="s">
        <v>15</v>
      </c>
      <c r="D90" s="8" t="s">
        <v>12</v>
      </c>
      <c r="E90" s="8">
        <v>141</v>
      </c>
      <c r="F90" s="8">
        <v>698232</v>
      </c>
      <c r="G90" s="8">
        <v>408637.57</v>
      </c>
      <c r="H90" s="8">
        <f>Business_Data!$F90-Business_Data!$G90</f>
        <v>289594.43</v>
      </c>
      <c r="I90" s="9">
        <f>Business_Data!$H90/Business_Data!$F90</f>
        <v>0.41475387836707567</v>
      </c>
      <c r="J90" s="15">
        <f>Business_Data!$F90/Business_Data!$E90</f>
        <v>4952</v>
      </c>
    </row>
    <row r="91" spans="1:10" x14ac:dyDescent="0.35">
      <c r="A91" s="13">
        <v>45638</v>
      </c>
      <c r="B91" s="10" t="s">
        <v>14</v>
      </c>
      <c r="C91" s="10" t="s">
        <v>15</v>
      </c>
      <c r="D91" s="10" t="s">
        <v>16</v>
      </c>
      <c r="E91" s="10">
        <v>160</v>
      </c>
      <c r="F91" s="10">
        <v>250080</v>
      </c>
      <c r="G91" s="10">
        <v>128868.33</v>
      </c>
      <c r="H91" s="10">
        <f>Business_Data!$F91-Business_Data!$G91</f>
        <v>121211.67</v>
      </c>
      <c r="I91" s="11">
        <f>Business_Data!$H91/Business_Data!$F91</f>
        <v>0.48469157869481766</v>
      </c>
      <c r="J91" s="14">
        <f>Business_Data!$F91/Business_Data!$E91</f>
        <v>1563</v>
      </c>
    </row>
    <row r="92" spans="1:10" x14ac:dyDescent="0.35">
      <c r="A92" s="12">
        <v>45372</v>
      </c>
      <c r="B92" s="8" t="s">
        <v>7</v>
      </c>
      <c r="C92" s="8" t="s">
        <v>8</v>
      </c>
      <c r="D92" s="8" t="s">
        <v>12</v>
      </c>
      <c r="E92" s="8">
        <v>42</v>
      </c>
      <c r="F92" s="8">
        <v>99540</v>
      </c>
      <c r="G92" s="8">
        <v>82545.45</v>
      </c>
      <c r="H92" s="8">
        <f>Business_Data!$F92-Business_Data!$G92</f>
        <v>16994.550000000003</v>
      </c>
      <c r="I92" s="9">
        <f>Business_Data!$H92/Business_Data!$F92</f>
        <v>0.1707308619650392</v>
      </c>
      <c r="J92" s="15">
        <f>Business_Data!$F92/Business_Data!$E92</f>
        <v>2370</v>
      </c>
    </row>
    <row r="93" spans="1:10" x14ac:dyDescent="0.35">
      <c r="A93" s="13">
        <v>45491</v>
      </c>
      <c r="B93" s="10" t="s">
        <v>7</v>
      </c>
      <c r="C93" s="10" t="s">
        <v>11</v>
      </c>
      <c r="D93" s="10" t="s">
        <v>16</v>
      </c>
      <c r="E93" s="10">
        <v>165</v>
      </c>
      <c r="F93" s="10">
        <v>330495</v>
      </c>
      <c r="G93" s="10">
        <v>213470.6</v>
      </c>
      <c r="H93" s="10">
        <f>Business_Data!$F93-Business_Data!$G93</f>
        <v>117024.4</v>
      </c>
      <c r="I93" s="11">
        <f>Business_Data!$H93/Business_Data!$F93</f>
        <v>0.35408826154707329</v>
      </c>
      <c r="J93" s="14">
        <f>Business_Data!$F93/Business_Data!$E93</f>
        <v>2003</v>
      </c>
    </row>
    <row r="94" spans="1:10" x14ac:dyDescent="0.35">
      <c r="A94" s="12">
        <v>45638</v>
      </c>
      <c r="B94" s="8" t="s">
        <v>13</v>
      </c>
      <c r="C94" s="8" t="s">
        <v>15</v>
      </c>
      <c r="D94" s="8" t="s">
        <v>9</v>
      </c>
      <c r="E94" s="8">
        <v>199</v>
      </c>
      <c r="F94" s="8">
        <v>231835</v>
      </c>
      <c r="G94" s="8">
        <v>126701.87</v>
      </c>
      <c r="H94" s="8">
        <f>Business_Data!$F94-Business_Data!$G94</f>
        <v>105133.13</v>
      </c>
      <c r="I94" s="9">
        <f>Business_Data!$H94/Business_Data!$F94</f>
        <v>0.45348256302974099</v>
      </c>
      <c r="J94" s="15">
        <f>Business_Data!$F94/Business_Data!$E94</f>
        <v>1165</v>
      </c>
    </row>
    <row r="95" spans="1:10" x14ac:dyDescent="0.35">
      <c r="A95" s="13">
        <v>45586</v>
      </c>
      <c r="B95" s="10" t="s">
        <v>14</v>
      </c>
      <c r="C95" s="10" t="s">
        <v>15</v>
      </c>
      <c r="D95" s="10" t="s">
        <v>9</v>
      </c>
      <c r="E95" s="10">
        <v>20</v>
      </c>
      <c r="F95" s="10">
        <v>91760</v>
      </c>
      <c r="G95" s="10">
        <v>77197.850000000006</v>
      </c>
      <c r="H95" s="10">
        <f>Business_Data!$F95-Business_Data!$G95</f>
        <v>14562.149999999994</v>
      </c>
      <c r="I95" s="11">
        <f>Business_Data!$H95/Business_Data!$F95</f>
        <v>0.15869823452484735</v>
      </c>
      <c r="J95" s="14">
        <f>Business_Data!$F95/Business_Data!$E95</f>
        <v>4588</v>
      </c>
    </row>
    <row r="96" spans="1:10" x14ac:dyDescent="0.35">
      <c r="A96" s="12">
        <v>45627</v>
      </c>
      <c r="B96" s="8" t="s">
        <v>10</v>
      </c>
      <c r="C96" s="8" t="s">
        <v>11</v>
      </c>
      <c r="D96" s="8" t="s">
        <v>12</v>
      </c>
      <c r="E96" s="8">
        <v>132</v>
      </c>
      <c r="F96" s="8">
        <v>612744</v>
      </c>
      <c r="G96" s="8">
        <v>373800.9</v>
      </c>
      <c r="H96" s="8">
        <f>Business_Data!$F96-Business_Data!$G96</f>
        <v>238943.09999999998</v>
      </c>
      <c r="I96" s="9">
        <f>Business_Data!$H96/Business_Data!$F96</f>
        <v>0.38995583800086164</v>
      </c>
      <c r="J96" s="15">
        <f>Business_Data!$F96/Business_Data!$E96</f>
        <v>4642</v>
      </c>
    </row>
    <row r="97" spans="1:10" x14ac:dyDescent="0.35">
      <c r="A97" s="13">
        <v>45539</v>
      </c>
      <c r="B97" s="10" t="s">
        <v>13</v>
      </c>
      <c r="C97" s="10" t="s">
        <v>11</v>
      </c>
      <c r="D97" s="10" t="s">
        <v>16</v>
      </c>
      <c r="E97" s="10">
        <v>65</v>
      </c>
      <c r="F97" s="10">
        <v>166660</v>
      </c>
      <c r="G97" s="10">
        <v>109004</v>
      </c>
      <c r="H97" s="10">
        <f>Business_Data!$F97-Business_Data!$G97</f>
        <v>57656</v>
      </c>
      <c r="I97" s="11">
        <f>Business_Data!$H97/Business_Data!$F97</f>
        <v>0.34594983799351975</v>
      </c>
      <c r="J97" s="14">
        <f>Business_Data!$F97/Business_Data!$E97</f>
        <v>2564</v>
      </c>
    </row>
    <row r="98" spans="1:10" x14ac:dyDescent="0.35">
      <c r="A98" s="12">
        <v>45454</v>
      </c>
      <c r="B98" s="8" t="s">
        <v>7</v>
      </c>
      <c r="C98" s="8" t="s">
        <v>8</v>
      </c>
      <c r="D98" s="8" t="s">
        <v>16</v>
      </c>
      <c r="E98" s="8">
        <v>99</v>
      </c>
      <c r="F98" s="8">
        <v>125037</v>
      </c>
      <c r="G98" s="8">
        <v>90474.78</v>
      </c>
      <c r="H98" s="8">
        <f>Business_Data!$F98-Business_Data!$G98</f>
        <v>34562.22</v>
      </c>
      <c r="I98" s="9">
        <f>Business_Data!$H98/Business_Data!$F98</f>
        <v>0.27641594088149907</v>
      </c>
      <c r="J98" s="15">
        <f>Business_Data!$F98/Business_Data!$E98</f>
        <v>1263</v>
      </c>
    </row>
    <row r="99" spans="1:10" x14ac:dyDescent="0.35">
      <c r="A99" s="13">
        <v>45516</v>
      </c>
      <c r="B99" s="10" t="s">
        <v>10</v>
      </c>
      <c r="C99" s="10" t="s">
        <v>8</v>
      </c>
      <c r="D99" s="10" t="s">
        <v>12</v>
      </c>
      <c r="E99" s="10">
        <v>192</v>
      </c>
      <c r="F99" s="10">
        <v>676032</v>
      </c>
      <c r="G99" s="10">
        <v>543923.34</v>
      </c>
      <c r="H99" s="10">
        <f>Business_Data!$F99-Business_Data!$G99</f>
        <v>132108.66000000003</v>
      </c>
      <c r="I99" s="11">
        <f>Business_Data!$H99/Business_Data!$F99</f>
        <v>0.19541776128940647</v>
      </c>
      <c r="J99" s="14">
        <f>Business_Data!$F99/Business_Data!$E99</f>
        <v>3521</v>
      </c>
    </row>
    <row r="100" spans="1:10" x14ac:dyDescent="0.35">
      <c r="A100" s="12">
        <v>45628</v>
      </c>
      <c r="B100" s="8" t="s">
        <v>13</v>
      </c>
      <c r="C100" s="8" t="s">
        <v>11</v>
      </c>
      <c r="D100" s="8" t="s">
        <v>9</v>
      </c>
      <c r="E100" s="8">
        <v>72</v>
      </c>
      <c r="F100" s="8">
        <v>187056</v>
      </c>
      <c r="G100" s="8">
        <v>154070.29999999999</v>
      </c>
      <c r="H100" s="8">
        <f>Business_Data!$F100-Business_Data!$G100</f>
        <v>32985.700000000012</v>
      </c>
      <c r="I100" s="9">
        <f>Business_Data!$H100/Business_Data!$F100</f>
        <v>0.17634130955435812</v>
      </c>
      <c r="J100" s="15">
        <f>Business_Data!$F100/Business_Data!$E100</f>
        <v>2598</v>
      </c>
    </row>
    <row r="101" spans="1:10" x14ac:dyDescent="0.35">
      <c r="A101" s="13">
        <v>45434</v>
      </c>
      <c r="B101" s="10" t="s">
        <v>14</v>
      </c>
      <c r="C101" s="10" t="s">
        <v>15</v>
      </c>
      <c r="D101" s="10" t="s">
        <v>16</v>
      </c>
      <c r="E101" s="10">
        <v>18</v>
      </c>
      <c r="F101" s="10">
        <v>31302</v>
      </c>
      <c r="G101" s="10">
        <v>18898.62</v>
      </c>
      <c r="H101" s="10">
        <f>Business_Data!$F101-Business_Data!$G101</f>
        <v>12403.380000000001</v>
      </c>
      <c r="I101" s="11">
        <f>Business_Data!$H101/Business_Data!$F101</f>
        <v>0.39624880199348289</v>
      </c>
      <c r="J101" s="14">
        <f>Business_Data!$F101/Business_Data!$E101</f>
        <v>1739</v>
      </c>
    </row>
    <row r="102" spans="1:10" x14ac:dyDescent="0.35">
      <c r="A102" s="12">
        <v>45401</v>
      </c>
      <c r="B102" s="8" t="s">
        <v>14</v>
      </c>
      <c r="C102" s="8" t="s">
        <v>8</v>
      </c>
      <c r="D102" s="8" t="s">
        <v>9</v>
      </c>
      <c r="E102" s="8">
        <v>176</v>
      </c>
      <c r="F102" s="8">
        <v>668448</v>
      </c>
      <c r="G102" s="8">
        <v>391891.53</v>
      </c>
      <c r="H102" s="8">
        <f>Business_Data!$F102-Business_Data!$G102</f>
        <v>276556.46999999997</v>
      </c>
      <c r="I102" s="9">
        <f>Business_Data!$H102/Business_Data!$F102</f>
        <v>0.41372922052276312</v>
      </c>
      <c r="J102" s="15">
        <f>Business_Data!$F102/Business_Data!$E102</f>
        <v>3798</v>
      </c>
    </row>
    <row r="103" spans="1:10" x14ac:dyDescent="0.35">
      <c r="A103" s="13">
        <v>45395</v>
      </c>
      <c r="B103" s="10" t="s">
        <v>13</v>
      </c>
      <c r="C103" s="10" t="s">
        <v>11</v>
      </c>
      <c r="D103" s="10" t="s">
        <v>12</v>
      </c>
      <c r="E103" s="10">
        <v>148</v>
      </c>
      <c r="F103" s="10">
        <v>709068</v>
      </c>
      <c r="G103" s="10">
        <v>365969.34</v>
      </c>
      <c r="H103" s="10">
        <f>Business_Data!$F103-Business_Data!$G103</f>
        <v>343098.66</v>
      </c>
      <c r="I103" s="11">
        <f>Business_Data!$H103/Business_Data!$F103</f>
        <v>0.48387271742625526</v>
      </c>
      <c r="J103" s="14">
        <f>Business_Data!$F103/Business_Data!$E103</f>
        <v>4791</v>
      </c>
    </row>
    <row r="104" spans="1:10" x14ac:dyDescent="0.35">
      <c r="A104" s="12">
        <v>45569</v>
      </c>
      <c r="B104" s="8" t="s">
        <v>10</v>
      </c>
      <c r="C104" s="8" t="s">
        <v>11</v>
      </c>
      <c r="D104" s="8" t="s">
        <v>9</v>
      </c>
      <c r="E104" s="8">
        <v>133</v>
      </c>
      <c r="F104" s="8">
        <v>113183</v>
      </c>
      <c r="G104" s="8">
        <v>85789.59</v>
      </c>
      <c r="H104" s="8">
        <f>Business_Data!$F104-Business_Data!$G104</f>
        <v>27393.410000000003</v>
      </c>
      <c r="I104" s="9">
        <f>Business_Data!$H104/Business_Data!$F104</f>
        <v>0.24202760131821921</v>
      </c>
      <c r="J104" s="15">
        <f>Business_Data!$F104/Business_Data!$E104</f>
        <v>851</v>
      </c>
    </row>
    <row r="105" spans="1:10" x14ac:dyDescent="0.35">
      <c r="A105" s="13">
        <v>45354</v>
      </c>
      <c r="B105" s="10" t="s">
        <v>10</v>
      </c>
      <c r="C105" s="10" t="s">
        <v>11</v>
      </c>
      <c r="D105" s="10" t="s">
        <v>12</v>
      </c>
      <c r="E105" s="10">
        <v>123</v>
      </c>
      <c r="F105" s="10">
        <v>514509</v>
      </c>
      <c r="G105" s="10">
        <v>435313.23</v>
      </c>
      <c r="H105" s="10">
        <f>Business_Data!$F105-Business_Data!$G105</f>
        <v>79195.770000000019</v>
      </c>
      <c r="I105" s="11">
        <f>Business_Data!$H105/Business_Data!$F105</f>
        <v>0.15392494591931341</v>
      </c>
      <c r="J105" s="14">
        <f>Business_Data!$F105/Business_Data!$E105</f>
        <v>4183</v>
      </c>
    </row>
    <row r="106" spans="1:10" x14ac:dyDescent="0.35">
      <c r="A106" s="12">
        <v>45619</v>
      </c>
      <c r="B106" s="8" t="s">
        <v>14</v>
      </c>
      <c r="C106" s="8" t="s">
        <v>15</v>
      </c>
      <c r="D106" s="8" t="s">
        <v>16</v>
      </c>
      <c r="E106" s="8">
        <v>93</v>
      </c>
      <c r="F106" s="8">
        <v>146568</v>
      </c>
      <c r="G106" s="8">
        <v>80361.7</v>
      </c>
      <c r="H106" s="8">
        <f>Business_Data!$F106-Business_Data!$G106</f>
        <v>66206.3</v>
      </c>
      <c r="I106" s="9">
        <f>Business_Data!$H106/Business_Data!$F106</f>
        <v>0.45171046886087007</v>
      </c>
      <c r="J106" s="15">
        <f>Business_Data!$F106/Business_Data!$E106</f>
        <v>1576</v>
      </c>
    </row>
    <row r="107" spans="1:10" x14ac:dyDescent="0.35">
      <c r="A107" s="13">
        <v>45439</v>
      </c>
      <c r="B107" s="10" t="s">
        <v>14</v>
      </c>
      <c r="C107" s="10" t="s">
        <v>8</v>
      </c>
      <c r="D107" s="10" t="s">
        <v>16</v>
      </c>
      <c r="E107" s="10">
        <v>78</v>
      </c>
      <c r="F107" s="10">
        <v>352560</v>
      </c>
      <c r="G107" s="10">
        <v>226743</v>
      </c>
      <c r="H107" s="10">
        <f>Business_Data!$F107-Business_Data!$G107</f>
        <v>125817</v>
      </c>
      <c r="I107" s="11">
        <f>Business_Data!$H107/Business_Data!$F107</f>
        <v>0.35686691626957112</v>
      </c>
      <c r="J107" s="14">
        <f>Business_Data!$F107/Business_Data!$E107</f>
        <v>4520</v>
      </c>
    </row>
    <row r="108" spans="1:10" x14ac:dyDescent="0.35">
      <c r="A108" s="12">
        <v>45600</v>
      </c>
      <c r="B108" s="8" t="s">
        <v>13</v>
      </c>
      <c r="C108" s="8" t="s">
        <v>8</v>
      </c>
      <c r="D108" s="8" t="s">
        <v>9</v>
      </c>
      <c r="E108" s="8">
        <v>134</v>
      </c>
      <c r="F108" s="8">
        <v>146060</v>
      </c>
      <c r="G108" s="8">
        <v>111215.89</v>
      </c>
      <c r="H108" s="8">
        <f>Business_Data!$F108-Business_Data!$G108</f>
        <v>34844.11</v>
      </c>
      <c r="I108" s="9">
        <f>Business_Data!$H108/Business_Data!$F108</f>
        <v>0.23856024921265234</v>
      </c>
      <c r="J108" s="15">
        <f>Business_Data!$F108/Business_Data!$E108</f>
        <v>1090</v>
      </c>
    </row>
    <row r="109" spans="1:10" x14ac:dyDescent="0.35">
      <c r="A109" s="13">
        <v>45516</v>
      </c>
      <c r="B109" s="10" t="s">
        <v>10</v>
      </c>
      <c r="C109" s="10" t="s">
        <v>8</v>
      </c>
      <c r="D109" s="10" t="s">
        <v>9</v>
      </c>
      <c r="E109" s="10">
        <v>113</v>
      </c>
      <c r="F109" s="10">
        <v>550084</v>
      </c>
      <c r="G109" s="10">
        <v>454971.61</v>
      </c>
      <c r="H109" s="10">
        <f>Business_Data!$F109-Business_Data!$G109</f>
        <v>95112.390000000014</v>
      </c>
      <c r="I109" s="11">
        <f>Business_Data!$H109/Business_Data!$F109</f>
        <v>0.17290521084052621</v>
      </c>
      <c r="J109" s="14">
        <f>Business_Data!$F109/Business_Data!$E109</f>
        <v>4868</v>
      </c>
    </row>
    <row r="110" spans="1:10" x14ac:dyDescent="0.35">
      <c r="A110" s="12">
        <v>45404</v>
      </c>
      <c r="B110" s="8" t="s">
        <v>13</v>
      </c>
      <c r="C110" s="8" t="s">
        <v>8</v>
      </c>
      <c r="D110" s="8" t="s">
        <v>12</v>
      </c>
      <c r="E110" s="8">
        <v>120</v>
      </c>
      <c r="F110" s="8">
        <v>144000</v>
      </c>
      <c r="G110" s="8">
        <v>114645.07</v>
      </c>
      <c r="H110" s="8">
        <f>Business_Data!$F110-Business_Data!$G110</f>
        <v>29354.929999999993</v>
      </c>
      <c r="I110" s="9">
        <f>Business_Data!$H110/Business_Data!$F110</f>
        <v>0.2038536805555555</v>
      </c>
      <c r="J110" s="15">
        <f>Business_Data!$F110/Business_Data!$E110</f>
        <v>1200</v>
      </c>
    </row>
    <row r="111" spans="1:10" x14ac:dyDescent="0.35">
      <c r="A111" s="13">
        <v>45483</v>
      </c>
      <c r="B111" s="10" t="s">
        <v>14</v>
      </c>
      <c r="C111" s="10" t="s">
        <v>11</v>
      </c>
      <c r="D111" s="10" t="s">
        <v>9</v>
      </c>
      <c r="E111" s="10">
        <v>80</v>
      </c>
      <c r="F111" s="10">
        <v>274160</v>
      </c>
      <c r="G111" s="10">
        <v>197547.65</v>
      </c>
      <c r="H111" s="10">
        <f>Business_Data!$F111-Business_Data!$G111</f>
        <v>76612.350000000006</v>
      </c>
      <c r="I111" s="11">
        <f>Business_Data!$H111/Business_Data!$F111</f>
        <v>0.279443937846513</v>
      </c>
      <c r="J111" s="14">
        <f>Business_Data!$F111/Business_Data!$E111</f>
        <v>3427</v>
      </c>
    </row>
    <row r="112" spans="1:10" x14ac:dyDescent="0.35">
      <c r="A112" s="12">
        <v>45571</v>
      </c>
      <c r="B112" s="8" t="s">
        <v>14</v>
      </c>
      <c r="C112" s="8" t="s">
        <v>8</v>
      </c>
      <c r="D112" s="8" t="s">
        <v>16</v>
      </c>
      <c r="E112" s="8">
        <v>50</v>
      </c>
      <c r="F112" s="8">
        <v>74000</v>
      </c>
      <c r="G112" s="8">
        <v>39288.080000000002</v>
      </c>
      <c r="H112" s="8">
        <f>Business_Data!$F112-Business_Data!$G112</f>
        <v>34711.919999999998</v>
      </c>
      <c r="I112" s="9">
        <f>Business_Data!$H112/Business_Data!$F112</f>
        <v>0.46908</v>
      </c>
      <c r="J112" s="15">
        <f>Business_Data!$F112/Business_Data!$E112</f>
        <v>1480</v>
      </c>
    </row>
    <row r="113" spans="1:10" x14ac:dyDescent="0.35">
      <c r="A113" s="13">
        <v>45631</v>
      </c>
      <c r="B113" s="10" t="s">
        <v>7</v>
      </c>
      <c r="C113" s="10" t="s">
        <v>11</v>
      </c>
      <c r="D113" s="10" t="s">
        <v>12</v>
      </c>
      <c r="E113" s="10">
        <v>92</v>
      </c>
      <c r="F113" s="10">
        <v>414736</v>
      </c>
      <c r="G113" s="10">
        <v>278142.28999999998</v>
      </c>
      <c r="H113" s="10">
        <f>Business_Data!$F113-Business_Data!$G113</f>
        <v>136593.71000000002</v>
      </c>
      <c r="I113" s="11">
        <f>Business_Data!$H113/Business_Data!$F113</f>
        <v>0.32935098472281166</v>
      </c>
      <c r="J113" s="14">
        <f>Business_Data!$F113/Business_Data!$E113</f>
        <v>4508</v>
      </c>
    </row>
    <row r="114" spans="1:10" x14ac:dyDescent="0.35">
      <c r="A114" s="12">
        <v>45383</v>
      </c>
      <c r="B114" s="8" t="s">
        <v>7</v>
      </c>
      <c r="C114" s="8" t="s">
        <v>15</v>
      </c>
      <c r="D114" s="8" t="s">
        <v>16</v>
      </c>
      <c r="E114" s="8">
        <v>195</v>
      </c>
      <c r="F114" s="8">
        <v>707070</v>
      </c>
      <c r="G114" s="8">
        <v>383345.59</v>
      </c>
      <c r="H114" s="8">
        <f>Business_Data!$F114-Business_Data!$G114</f>
        <v>323724.40999999997</v>
      </c>
      <c r="I114" s="9">
        <f>Business_Data!$H114/Business_Data!$F114</f>
        <v>0.45783926626783766</v>
      </c>
      <c r="J114" s="15">
        <f>Business_Data!$F114/Business_Data!$E114</f>
        <v>3626</v>
      </c>
    </row>
    <row r="115" spans="1:10" x14ac:dyDescent="0.35">
      <c r="A115" s="13">
        <v>45469</v>
      </c>
      <c r="B115" s="10" t="s">
        <v>10</v>
      </c>
      <c r="C115" s="10" t="s">
        <v>11</v>
      </c>
      <c r="D115" s="10" t="s">
        <v>9</v>
      </c>
      <c r="E115" s="10">
        <v>15</v>
      </c>
      <c r="F115" s="10">
        <v>44370</v>
      </c>
      <c r="G115" s="10">
        <v>32985.870000000003</v>
      </c>
      <c r="H115" s="10">
        <f>Business_Data!$F115-Business_Data!$G115</f>
        <v>11384.129999999997</v>
      </c>
      <c r="I115" s="11">
        <f>Business_Data!$H115/Business_Data!$F115</f>
        <v>0.25657268424611218</v>
      </c>
      <c r="J115" s="14">
        <f>Business_Data!$F115/Business_Data!$E115</f>
        <v>2958</v>
      </c>
    </row>
    <row r="116" spans="1:10" x14ac:dyDescent="0.35">
      <c r="A116" s="12">
        <v>45595</v>
      </c>
      <c r="B116" s="8" t="s">
        <v>10</v>
      </c>
      <c r="C116" s="8" t="s">
        <v>8</v>
      </c>
      <c r="D116" s="8" t="s">
        <v>16</v>
      </c>
      <c r="E116" s="8">
        <v>140</v>
      </c>
      <c r="F116" s="8">
        <v>361620</v>
      </c>
      <c r="G116" s="8">
        <v>217159.51</v>
      </c>
      <c r="H116" s="8">
        <f>Business_Data!$F116-Business_Data!$G116</f>
        <v>144460.49</v>
      </c>
      <c r="I116" s="9">
        <f>Business_Data!$H116/Business_Data!$F116</f>
        <v>0.39948147226370223</v>
      </c>
      <c r="J116" s="15">
        <f>Business_Data!$F116/Business_Data!$E116</f>
        <v>2583</v>
      </c>
    </row>
    <row r="117" spans="1:10" x14ac:dyDescent="0.35">
      <c r="A117" s="13">
        <v>45600</v>
      </c>
      <c r="B117" s="10" t="s">
        <v>14</v>
      </c>
      <c r="C117" s="10" t="s">
        <v>8</v>
      </c>
      <c r="D117" s="10" t="s">
        <v>16</v>
      </c>
      <c r="E117" s="10">
        <v>88</v>
      </c>
      <c r="F117" s="10">
        <v>180224</v>
      </c>
      <c r="G117" s="10">
        <v>104758.76</v>
      </c>
      <c r="H117" s="10">
        <f>Business_Data!$F117-Business_Data!$G117</f>
        <v>75465.240000000005</v>
      </c>
      <c r="I117" s="11">
        <f>Business_Data!$H117/Business_Data!$F117</f>
        <v>0.4187302468039773</v>
      </c>
      <c r="J117" s="14">
        <f>Business_Data!$F117/Business_Data!$E117</f>
        <v>2048</v>
      </c>
    </row>
    <row r="118" spans="1:10" x14ac:dyDescent="0.35">
      <c r="A118" s="12">
        <v>45339</v>
      </c>
      <c r="B118" s="8" t="s">
        <v>13</v>
      </c>
      <c r="C118" s="8" t="s">
        <v>8</v>
      </c>
      <c r="D118" s="8" t="s">
        <v>9</v>
      </c>
      <c r="E118" s="8">
        <v>47</v>
      </c>
      <c r="F118" s="8">
        <v>171221</v>
      </c>
      <c r="G118" s="8">
        <v>140281.1</v>
      </c>
      <c r="H118" s="8">
        <f>Business_Data!$F118-Business_Data!$G118</f>
        <v>30939.899999999994</v>
      </c>
      <c r="I118" s="9">
        <f>Business_Data!$H118/Business_Data!$F118</f>
        <v>0.18070154945947048</v>
      </c>
      <c r="J118" s="15">
        <f>Business_Data!$F118/Business_Data!$E118</f>
        <v>3643</v>
      </c>
    </row>
    <row r="119" spans="1:10" x14ac:dyDescent="0.35">
      <c r="A119" s="13">
        <v>45576</v>
      </c>
      <c r="B119" s="10" t="s">
        <v>10</v>
      </c>
      <c r="C119" s="10" t="s">
        <v>8</v>
      </c>
      <c r="D119" s="10" t="s">
        <v>9</v>
      </c>
      <c r="E119" s="10">
        <v>115</v>
      </c>
      <c r="F119" s="10">
        <v>149730</v>
      </c>
      <c r="G119" s="10">
        <v>101859.18</v>
      </c>
      <c r="H119" s="10">
        <f>Business_Data!$F119-Business_Data!$G119</f>
        <v>47870.820000000007</v>
      </c>
      <c r="I119" s="11">
        <f>Business_Data!$H119/Business_Data!$F119</f>
        <v>0.31971428571428578</v>
      </c>
      <c r="J119" s="14">
        <f>Business_Data!$F119/Business_Data!$E119</f>
        <v>1302</v>
      </c>
    </row>
    <row r="120" spans="1:10" x14ac:dyDescent="0.35">
      <c r="A120" s="12">
        <v>45429</v>
      </c>
      <c r="B120" s="8" t="s">
        <v>14</v>
      </c>
      <c r="C120" s="8" t="s">
        <v>11</v>
      </c>
      <c r="D120" s="8" t="s">
        <v>9</v>
      </c>
      <c r="E120" s="8">
        <v>124</v>
      </c>
      <c r="F120" s="8">
        <v>549816</v>
      </c>
      <c r="G120" s="8">
        <v>409865.88</v>
      </c>
      <c r="H120" s="8">
        <f>Business_Data!$F120-Business_Data!$G120</f>
        <v>139950.12</v>
      </c>
      <c r="I120" s="9">
        <f>Business_Data!$H120/Business_Data!$F120</f>
        <v>0.25453991880920163</v>
      </c>
      <c r="J120" s="15">
        <f>Business_Data!$F120/Business_Data!$E120</f>
        <v>4434</v>
      </c>
    </row>
    <row r="121" spans="1:10" x14ac:dyDescent="0.35">
      <c r="A121" s="13">
        <v>45563</v>
      </c>
      <c r="B121" s="10" t="s">
        <v>13</v>
      </c>
      <c r="C121" s="10" t="s">
        <v>8</v>
      </c>
      <c r="D121" s="10" t="s">
        <v>12</v>
      </c>
      <c r="E121" s="10">
        <v>83</v>
      </c>
      <c r="F121" s="10">
        <v>91217</v>
      </c>
      <c r="G121" s="10">
        <v>65781.929999999993</v>
      </c>
      <c r="H121" s="10">
        <f>Business_Data!$F121-Business_Data!$G121</f>
        <v>25435.070000000007</v>
      </c>
      <c r="I121" s="11">
        <f>Business_Data!$H121/Business_Data!$F121</f>
        <v>0.27884133440038594</v>
      </c>
      <c r="J121" s="14">
        <f>Business_Data!$F121/Business_Data!$E121</f>
        <v>1099</v>
      </c>
    </row>
    <row r="122" spans="1:10" x14ac:dyDescent="0.35">
      <c r="A122" s="12">
        <v>45637</v>
      </c>
      <c r="B122" s="8" t="s">
        <v>10</v>
      </c>
      <c r="C122" s="8" t="s">
        <v>15</v>
      </c>
      <c r="D122" s="8" t="s">
        <v>9</v>
      </c>
      <c r="E122" s="8">
        <v>95</v>
      </c>
      <c r="F122" s="8">
        <v>106495</v>
      </c>
      <c r="G122" s="8">
        <v>70281.820000000007</v>
      </c>
      <c r="H122" s="8">
        <f>Business_Data!$F122-Business_Data!$G122</f>
        <v>36213.179999999993</v>
      </c>
      <c r="I122" s="9">
        <f>Business_Data!$H122/Business_Data!$F122</f>
        <v>0.34004582374759373</v>
      </c>
      <c r="J122" s="15">
        <f>Business_Data!$F122/Business_Data!$E122</f>
        <v>1121</v>
      </c>
    </row>
    <row r="123" spans="1:10" x14ac:dyDescent="0.35">
      <c r="A123" s="13">
        <v>45565</v>
      </c>
      <c r="B123" s="10" t="s">
        <v>14</v>
      </c>
      <c r="C123" s="10" t="s">
        <v>15</v>
      </c>
      <c r="D123" s="10" t="s">
        <v>9</v>
      </c>
      <c r="E123" s="10">
        <v>64</v>
      </c>
      <c r="F123" s="10">
        <v>45056</v>
      </c>
      <c r="G123" s="10">
        <v>23065.29</v>
      </c>
      <c r="H123" s="10">
        <f>Business_Data!$F123-Business_Data!$G123</f>
        <v>21990.71</v>
      </c>
      <c r="I123" s="11">
        <f>Business_Data!$H123/Business_Data!$F123</f>
        <v>0.48807506214488633</v>
      </c>
      <c r="J123" s="14">
        <f>Business_Data!$F123/Business_Data!$E123</f>
        <v>704</v>
      </c>
    </row>
    <row r="124" spans="1:10" x14ac:dyDescent="0.35">
      <c r="A124" s="12">
        <v>45297</v>
      </c>
      <c r="B124" s="8" t="s">
        <v>13</v>
      </c>
      <c r="C124" s="8" t="s">
        <v>8</v>
      </c>
      <c r="D124" s="8" t="s">
        <v>9</v>
      </c>
      <c r="E124" s="8">
        <v>183</v>
      </c>
      <c r="F124" s="8">
        <v>825513</v>
      </c>
      <c r="G124" s="8">
        <v>563053.24</v>
      </c>
      <c r="H124" s="8">
        <f>Business_Data!$F124-Business_Data!$G124</f>
        <v>262459.76</v>
      </c>
      <c r="I124" s="9">
        <f>Business_Data!$H124/Business_Data!$F124</f>
        <v>0.31793534444642302</v>
      </c>
      <c r="J124" s="15">
        <f>Business_Data!$F124/Business_Data!$E124</f>
        <v>4511</v>
      </c>
    </row>
    <row r="125" spans="1:10" x14ac:dyDescent="0.35">
      <c r="A125" s="13">
        <v>45417</v>
      </c>
      <c r="B125" s="10" t="s">
        <v>7</v>
      </c>
      <c r="C125" s="10" t="s">
        <v>8</v>
      </c>
      <c r="D125" s="10" t="s">
        <v>12</v>
      </c>
      <c r="E125" s="10">
        <v>13</v>
      </c>
      <c r="F125" s="10">
        <v>47320</v>
      </c>
      <c r="G125" s="10">
        <v>39924.839999999997</v>
      </c>
      <c r="H125" s="10">
        <f>Business_Data!$F125-Business_Data!$G125</f>
        <v>7395.1600000000035</v>
      </c>
      <c r="I125" s="11">
        <f>Business_Data!$H125/Business_Data!$F125</f>
        <v>0.15627979712595105</v>
      </c>
      <c r="J125" s="14">
        <f>Business_Data!$F125/Business_Data!$E125</f>
        <v>3640</v>
      </c>
    </row>
    <row r="126" spans="1:10" x14ac:dyDescent="0.35">
      <c r="A126" s="12">
        <v>45402</v>
      </c>
      <c r="B126" s="8" t="s">
        <v>7</v>
      </c>
      <c r="C126" s="8" t="s">
        <v>15</v>
      </c>
      <c r="D126" s="8" t="s">
        <v>9</v>
      </c>
      <c r="E126" s="8">
        <v>199</v>
      </c>
      <c r="F126" s="8">
        <v>464466</v>
      </c>
      <c r="G126" s="8">
        <v>261214.41</v>
      </c>
      <c r="H126" s="8">
        <f>Business_Data!$F126-Business_Data!$G126</f>
        <v>203251.59</v>
      </c>
      <c r="I126" s="9">
        <f>Business_Data!$H126/Business_Data!$F126</f>
        <v>0.43760273087804058</v>
      </c>
      <c r="J126" s="15">
        <f>Business_Data!$F126/Business_Data!$E126</f>
        <v>2334</v>
      </c>
    </row>
    <row r="127" spans="1:10" x14ac:dyDescent="0.35">
      <c r="A127" s="13">
        <v>45560</v>
      </c>
      <c r="B127" s="10" t="s">
        <v>10</v>
      </c>
      <c r="C127" s="10" t="s">
        <v>8</v>
      </c>
      <c r="D127" s="10" t="s">
        <v>9</v>
      </c>
      <c r="E127" s="10">
        <v>91</v>
      </c>
      <c r="F127" s="10">
        <v>211120</v>
      </c>
      <c r="G127" s="10">
        <v>152953.76999999999</v>
      </c>
      <c r="H127" s="10">
        <f>Business_Data!$F127-Business_Data!$G127</f>
        <v>58166.23000000001</v>
      </c>
      <c r="I127" s="11">
        <f>Business_Data!$H127/Business_Data!$F127</f>
        <v>0.27551264683592275</v>
      </c>
      <c r="J127" s="14">
        <f>Business_Data!$F127/Business_Data!$E127</f>
        <v>2320</v>
      </c>
    </row>
    <row r="128" spans="1:10" x14ac:dyDescent="0.35">
      <c r="A128" s="12">
        <v>45458</v>
      </c>
      <c r="B128" s="8" t="s">
        <v>7</v>
      </c>
      <c r="C128" s="8" t="s">
        <v>15</v>
      </c>
      <c r="D128" s="8" t="s">
        <v>12</v>
      </c>
      <c r="E128" s="8">
        <v>186</v>
      </c>
      <c r="F128" s="8">
        <v>782874</v>
      </c>
      <c r="G128" s="8">
        <v>423046.19</v>
      </c>
      <c r="H128" s="8">
        <f>Business_Data!$F128-Business_Data!$G128</f>
        <v>359827.81</v>
      </c>
      <c r="I128" s="9">
        <f>Business_Data!$H128/Business_Data!$F128</f>
        <v>0.45962416685188168</v>
      </c>
      <c r="J128" s="15">
        <f>Business_Data!$F128/Business_Data!$E128</f>
        <v>4209</v>
      </c>
    </row>
    <row r="129" spans="1:10" x14ac:dyDescent="0.35">
      <c r="A129" s="13">
        <v>45372</v>
      </c>
      <c r="B129" s="10" t="s">
        <v>14</v>
      </c>
      <c r="C129" s="10" t="s">
        <v>15</v>
      </c>
      <c r="D129" s="10" t="s">
        <v>12</v>
      </c>
      <c r="E129" s="10">
        <v>102</v>
      </c>
      <c r="F129" s="10">
        <v>66402</v>
      </c>
      <c r="G129" s="10">
        <v>37135.5</v>
      </c>
      <c r="H129" s="10">
        <f>Business_Data!$F129-Business_Data!$G129</f>
        <v>29266.5</v>
      </c>
      <c r="I129" s="11">
        <f>Business_Data!$H129/Business_Data!$F129</f>
        <v>0.44074726664859493</v>
      </c>
      <c r="J129" s="14">
        <f>Business_Data!$F129/Business_Data!$E129</f>
        <v>651</v>
      </c>
    </row>
    <row r="130" spans="1:10" x14ac:dyDescent="0.35">
      <c r="A130" s="12">
        <v>45519</v>
      </c>
      <c r="B130" s="8" t="s">
        <v>13</v>
      </c>
      <c r="C130" s="8" t="s">
        <v>15</v>
      </c>
      <c r="D130" s="8" t="s">
        <v>12</v>
      </c>
      <c r="E130" s="8">
        <v>103</v>
      </c>
      <c r="F130" s="8">
        <v>391503</v>
      </c>
      <c r="G130" s="8">
        <v>297896.56</v>
      </c>
      <c r="H130" s="8">
        <f>Business_Data!$F130-Business_Data!$G130</f>
        <v>93606.44</v>
      </c>
      <c r="I130" s="9">
        <f>Business_Data!$H130/Business_Data!$F130</f>
        <v>0.23909507717693096</v>
      </c>
      <c r="J130" s="15">
        <f>Business_Data!$F130/Business_Data!$E130</f>
        <v>3801</v>
      </c>
    </row>
    <row r="131" spans="1:10" x14ac:dyDescent="0.35">
      <c r="A131" s="13">
        <v>45614</v>
      </c>
      <c r="B131" s="10" t="s">
        <v>13</v>
      </c>
      <c r="C131" s="10" t="s">
        <v>11</v>
      </c>
      <c r="D131" s="10" t="s">
        <v>12</v>
      </c>
      <c r="E131" s="10">
        <v>163</v>
      </c>
      <c r="F131" s="10">
        <v>310515</v>
      </c>
      <c r="G131" s="10">
        <v>185317.95</v>
      </c>
      <c r="H131" s="10">
        <f>Business_Data!$F131-Business_Data!$G131</f>
        <v>125197.04999999999</v>
      </c>
      <c r="I131" s="11">
        <f>Business_Data!$H131/Business_Data!$F131</f>
        <v>0.40319163325443214</v>
      </c>
      <c r="J131" s="14">
        <f>Business_Data!$F131/Business_Data!$E131</f>
        <v>1905</v>
      </c>
    </row>
    <row r="132" spans="1:10" x14ac:dyDescent="0.35">
      <c r="A132" s="12">
        <v>45299</v>
      </c>
      <c r="B132" s="8" t="s">
        <v>13</v>
      </c>
      <c r="C132" s="8" t="s">
        <v>15</v>
      </c>
      <c r="D132" s="8" t="s">
        <v>12</v>
      </c>
      <c r="E132" s="8">
        <v>154</v>
      </c>
      <c r="F132" s="8">
        <v>552244</v>
      </c>
      <c r="G132" s="8">
        <v>382464.97</v>
      </c>
      <c r="H132" s="8">
        <f>Business_Data!$F132-Business_Data!$G132</f>
        <v>169779.03000000003</v>
      </c>
      <c r="I132" s="9">
        <f>Business_Data!$H132/Business_Data!$F132</f>
        <v>0.30743481142393586</v>
      </c>
      <c r="J132" s="15">
        <f>Business_Data!$F132/Business_Data!$E132</f>
        <v>3586</v>
      </c>
    </row>
    <row r="133" spans="1:10" x14ac:dyDescent="0.35">
      <c r="A133" s="13">
        <v>45436</v>
      </c>
      <c r="B133" s="10" t="s">
        <v>10</v>
      </c>
      <c r="C133" s="10" t="s">
        <v>11</v>
      </c>
      <c r="D133" s="10" t="s">
        <v>9</v>
      </c>
      <c r="E133" s="10">
        <v>175</v>
      </c>
      <c r="F133" s="10">
        <v>267400</v>
      </c>
      <c r="G133" s="10">
        <v>172363.23</v>
      </c>
      <c r="H133" s="10">
        <f>Business_Data!$F133-Business_Data!$G133</f>
        <v>95036.76999999999</v>
      </c>
      <c r="I133" s="11">
        <f>Business_Data!$H133/Business_Data!$F133</f>
        <v>0.35541050860134626</v>
      </c>
      <c r="J133" s="14">
        <f>Business_Data!$F133/Business_Data!$E133</f>
        <v>1528</v>
      </c>
    </row>
    <row r="134" spans="1:10" x14ac:dyDescent="0.35">
      <c r="A134" s="12">
        <v>45380</v>
      </c>
      <c r="B134" s="8" t="s">
        <v>7</v>
      </c>
      <c r="C134" s="8" t="s">
        <v>8</v>
      </c>
      <c r="D134" s="8" t="s">
        <v>16</v>
      </c>
      <c r="E134" s="8">
        <v>115</v>
      </c>
      <c r="F134" s="8">
        <v>550160</v>
      </c>
      <c r="G134" s="8">
        <v>361815.01</v>
      </c>
      <c r="H134" s="8">
        <f>Business_Data!$F134-Business_Data!$G134</f>
        <v>188344.99</v>
      </c>
      <c r="I134" s="9">
        <f>Business_Data!$H134/Business_Data!$F134</f>
        <v>0.34234584484513592</v>
      </c>
      <c r="J134" s="15">
        <f>Business_Data!$F134/Business_Data!$E134</f>
        <v>4784</v>
      </c>
    </row>
    <row r="135" spans="1:10" x14ac:dyDescent="0.35">
      <c r="A135" s="13">
        <v>45527</v>
      </c>
      <c r="B135" s="10" t="s">
        <v>13</v>
      </c>
      <c r="C135" s="10" t="s">
        <v>11</v>
      </c>
      <c r="D135" s="10" t="s">
        <v>16</v>
      </c>
      <c r="E135" s="10">
        <v>98</v>
      </c>
      <c r="F135" s="10">
        <v>288904</v>
      </c>
      <c r="G135" s="10">
        <v>202464.79</v>
      </c>
      <c r="H135" s="10">
        <f>Business_Data!$F135-Business_Data!$G135</f>
        <v>86439.209999999992</v>
      </c>
      <c r="I135" s="11">
        <f>Business_Data!$H135/Business_Data!$F135</f>
        <v>0.29919699969540053</v>
      </c>
      <c r="J135" s="14">
        <f>Business_Data!$F135/Business_Data!$E135</f>
        <v>2948</v>
      </c>
    </row>
    <row r="136" spans="1:10" x14ac:dyDescent="0.35">
      <c r="A136" s="12">
        <v>45338</v>
      </c>
      <c r="B136" s="8" t="s">
        <v>7</v>
      </c>
      <c r="C136" s="8" t="s">
        <v>11</v>
      </c>
      <c r="D136" s="8" t="s">
        <v>9</v>
      </c>
      <c r="E136" s="8">
        <v>179</v>
      </c>
      <c r="F136" s="8">
        <v>501737</v>
      </c>
      <c r="G136" s="8">
        <v>396412.38</v>
      </c>
      <c r="H136" s="8">
        <f>Business_Data!$F136-Business_Data!$G136</f>
        <v>105324.62</v>
      </c>
      <c r="I136" s="9">
        <f>Business_Data!$H136/Business_Data!$F136</f>
        <v>0.20991997799644035</v>
      </c>
      <c r="J136" s="15">
        <f>Business_Data!$F136/Business_Data!$E136</f>
        <v>2803</v>
      </c>
    </row>
    <row r="137" spans="1:10" x14ac:dyDescent="0.35">
      <c r="A137" s="13">
        <v>45355</v>
      </c>
      <c r="B137" s="10" t="s">
        <v>13</v>
      </c>
      <c r="C137" s="10" t="s">
        <v>11</v>
      </c>
      <c r="D137" s="10" t="s">
        <v>12</v>
      </c>
      <c r="E137" s="10">
        <v>165</v>
      </c>
      <c r="F137" s="10">
        <v>268455</v>
      </c>
      <c r="G137" s="10">
        <v>189606.01</v>
      </c>
      <c r="H137" s="10">
        <f>Business_Data!$F137-Business_Data!$G137</f>
        <v>78848.989999999991</v>
      </c>
      <c r="I137" s="11">
        <f>Business_Data!$H137/Business_Data!$F137</f>
        <v>0.29371399303421425</v>
      </c>
      <c r="J137" s="14">
        <f>Business_Data!$F137/Business_Data!$E137</f>
        <v>1627</v>
      </c>
    </row>
    <row r="138" spans="1:10" x14ac:dyDescent="0.35">
      <c r="A138" s="12">
        <v>45387</v>
      </c>
      <c r="B138" s="8" t="s">
        <v>7</v>
      </c>
      <c r="C138" s="8" t="s">
        <v>15</v>
      </c>
      <c r="D138" s="8" t="s">
        <v>16</v>
      </c>
      <c r="E138" s="8">
        <v>164</v>
      </c>
      <c r="F138" s="8">
        <v>432796</v>
      </c>
      <c r="G138" s="8">
        <v>320242.45</v>
      </c>
      <c r="H138" s="8">
        <f>Business_Data!$F138-Business_Data!$G138</f>
        <v>112553.54999999999</v>
      </c>
      <c r="I138" s="9">
        <f>Business_Data!$H138/Business_Data!$F138</f>
        <v>0.26006143772123586</v>
      </c>
      <c r="J138" s="15">
        <f>Business_Data!$F138/Business_Data!$E138</f>
        <v>2639</v>
      </c>
    </row>
    <row r="139" spans="1:10" x14ac:dyDescent="0.35">
      <c r="A139" s="13">
        <v>45579</v>
      </c>
      <c r="B139" s="10" t="s">
        <v>7</v>
      </c>
      <c r="C139" s="10" t="s">
        <v>8</v>
      </c>
      <c r="D139" s="10" t="s">
        <v>12</v>
      </c>
      <c r="E139" s="10">
        <v>40</v>
      </c>
      <c r="F139" s="10">
        <v>101040</v>
      </c>
      <c r="G139" s="10">
        <v>54492.03</v>
      </c>
      <c r="H139" s="10">
        <f>Business_Data!$F139-Business_Data!$G139</f>
        <v>46547.97</v>
      </c>
      <c r="I139" s="11">
        <f>Business_Data!$H139/Business_Data!$F139</f>
        <v>0.46068853919239905</v>
      </c>
      <c r="J139" s="14">
        <f>Business_Data!$F139/Business_Data!$E139</f>
        <v>2526</v>
      </c>
    </row>
    <row r="140" spans="1:10" x14ac:dyDescent="0.35">
      <c r="A140" s="12">
        <v>45576</v>
      </c>
      <c r="B140" s="8" t="s">
        <v>14</v>
      </c>
      <c r="C140" s="8" t="s">
        <v>15</v>
      </c>
      <c r="D140" s="8" t="s">
        <v>9</v>
      </c>
      <c r="E140" s="8">
        <v>115</v>
      </c>
      <c r="F140" s="8">
        <v>563845</v>
      </c>
      <c r="G140" s="8">
        <v>455426.56</v>
      </c>
      <c r="H140" s="8">
        <f>Business_Data!$F140-Business_Data!$G140</f>
        <v>108418.44</v>
      </c>
      <c r="I140" s="9">
        <f>Business_Data!$H140/Business_Data!$F140</f>
        <v>0.1922841206359904</v>
      </c>
      <c r="J140" s="15">
        <f>Business_Data!$F140/Business_Data!$E140</f>
        <v>4903</v>
      </c>
    </row>
    <row r="141" spans="1:10" x14ac:dyDescent="0.35">
      <c r="A141" s="13">
        <v>45474</v>
      </c>
      <c r="B141" s="10" t="s">
        <v>7</v>
      </c>
      <c r="C141" s="10" t="s">
        <v>15</v>
      </c>
      <c r="D141" s="10" t="s">
        <v>16</v>
      </c>
      <c r="E141" s="10">
        <v>49</v>
      </c>
      <c r="F141" s="10">
        <v>128282</v>
      </c>
      <c r="G141" s="10">
        <v>72524.179999999993</v>
      </c>
      <c r="H141" s="10">
        <f>Business_Data!$F141-Business_Data!$G141</f>
        <v>55757.820000000007</v>
      </c>
      <c r="I141" s="11">
        <f>Business_Data!$H141/Business_Data!$F141</f>
        <v>0.43465037963237246</v>
      </c>
      <c r="J141" s="14">
        <f>Business_Data!$F141/Business_Data!$E141</f>
        <v>2618</v>
      </c>
    </row>
    <row r="142" spans="1:10" x14ac:dyDescent="0.35">
      <c r="A142" s="12">
        <v>45548</v>
      </c>
      <c r="B142" s="8" t="s">
        <v>14</v>
      </c>
      <c r="C142" s="8" t="s">
        <v>11</v>
      </c>
      <c r="D142" s="8" t="s">
        <v>12</v>
      </c>
      <c r="E142" s="8">
        <v>104</v>
      </c>
      <c r="F142" s="8">
        <v>433888</v>
      </c>
      <c r="G142" s="8">
        <v>314784</v>
      </c>
      <c r="H142" s="8">
        <f>Business_Data!$F142-Business_Data!$G142</f>
        <v>119104</v>
      </c>
      <c r="I142" s="9">
        <f>Business_Data!$H142/Business_Data!$F142</f>
        <v>0.27450401947046243</v>
      </c>
      <c r="J142" s="15">
        <f>Business_Data!$F142/Business_Data!$E142</f>
        <v>4172</v>
      </c>
    </row>
    <row r="143" spans="1:10" x14ac:dyDescent="0.35">
      <c r="A143" s="13">
        <v>45295</v>
      </c>
      <c r="B143" s="10" t="s">
        <v>7</v>
      </c>
      <c r="C143" s="10" t="s">
        <v>8</v>
      </c>
      <c r="D143" s="10" t="s">
        <v>12</v>
      </c>
      <c r="E143" s="10">
        <v>23</v>
      </c>
      <c r="F143" s="10">
        <v>33097</v>
      </c>
      <c r="G143" s="10">
        <v>22713.46</v>
      </c>
      <c r="H143" s="10">
        <f>Business_Data!$F143-Business_Data!$G143</f>
        <v>10383.540000000001</v>
      </c>
      <c r="I143" s="11">
        <f>Business_Data!$H143/Business_Data!$F143</f>
        <v>0.31373054959664021</v>
      </c>
      <c r="J143" s="14">
        <f>Business_Data!$F143/Business_Data!$E143</f>
        <v>1439</v>
      </c>
    </row>
    <row r="144" spans="1:10" x14ac:dyDescent="0.35">
      <c r="A144" s="12">
        <v>45424</v>
      </c>
      <c r="B144" s="8" t="s">
        <v>7</v>
      </c>
      <c r="C144" s="8" t="s">
        <v>8</v>
      </c>
      <c r="D144" s="8" t="s">
        <v>12</v>
      </c>
      <c r="E144" s="8">
        <v>30</v>
      </c>
      <c r="F144" s="8">
        <v>140970</v>
      </c>
      <c r="G144" s="8">
        <v>95271.679999999993</v>
      </c>
      <c r="H144" s="8">
        <f>Business_Data!$F144-Business_Data!$G144</f>
        <v>45698.320000000007</v>
      </c>
      <c r="I144" s="9">
        <f>Business_Data!$H144/Business_Data!$F144</f>
        <v>0.32417053273746194</v>
      </c>
      <c r="J144" s="15">
        <f>Business_Data!$F144/Business_Data!$E144</f>
        <v>4699</v>
      </c>
    </row>
    <row r="145" spans="1:10" x14ac:dyDescent="0.35">
      <c r="A145" s="13">
        <v>45377</v>
      </c>
      <c r="B145" s="10" t="s">
        <v>10</v>
      </c>
      <c r="C145" s="10" t="s">
        <v>8</v>
      </c>
      <c r="D145" s="10" t="s">
        <v>16</v>
      </c>
      <c r="E145" s="10">
        <v>32</v>
      </c>
      <c r="F145" s="10">
        <v>156832</v>
      </c>
      <c r="G145" s="10">
        <v>84097.57</v>
      </c>
      <c r="H145" s="10">
        <f>Business_Data!$F145-Business_Data!$G145</f>
        <v>72734.429999999993</v>
      </c>
      <c r="I145" s="11">
        <f>Business_Data!$H145/Business_Data!$F145</f>
        <v>0.46377289073658434</v>
      </c>
      <c r="J145" s="14">
        <f>Business_Data!$F145/Business_Data!$E145</f>
        <v>4901</v>
      </c>
    </row>
    <row r="146" spans="1:10" x14ac:dyDescent="0.35">
      <c r="A146" s="12">
        <v>45511</v>
      </c>
      <c r="B146" s="8" t="s">
        <v>10</v>
      </c>
      <c r="C146" s="8" t="s">
        <v>11</v>
      </c>
      <c r="D146" s="8" t="s">
        <v>16</v>
      </c>
      <c r="E146" s="8">
        <v>152</v>
      </c>
      <c r="F146" s="8">
        <v>369968</v>
      </c>
      <c r="G146" s="8">
        <v>307027.18</v>
      </c>
      <c r="H146" s="8">
        <f>Business_Data!$F146-Business_Data!$G146</f>
        <v>62940.820000000007</v>
      </c>
      <c r="I146" s="9">
        <f>Business_Data!$H146/Business_Data!$F146</f>
        <v>0.1701250378411106</v>
      </c>
      <c r="J146" s="15">
        <f>Business_Data!$F146/Business_Data!$E146</f>
        <v>2434</v>
      </c>
    </row>
    <row r="147" spans="1:10" x14ac:dyDescent="0.35">
      <c r="A147" s="13">
        <v>45656</v>
      </c>
      <c r="B147" s="10" t="s">
        <v>13</v>
      </c>
      <c r="C147" s="10" t="s">
        <v>11</v>
      </c>
      <c r="D147" s="10" t="s">
        <v>16</v>
      </c>
      <c r="E147" s="10">
        <v>64</v>
      </c>
      <c r="F147" s="10">
        <v>313024</v>
      </c>
      <c r="G147" s="10">
        <v>227272.89</v>
      </c>
      <c r="H147" s="10">
        <f>Business_Data!$F147-Business_Data!$G147</f>
        <v>85751.109999999986</v>
      </c>
      <c r="I147" s="11">
        <f>Business_Data!$H147/Business_Data!$F147</f>
        <v>0.2739442023614802</v>
      </c>
      <c r="J147" s="14">
        <f>Business_Data!$F147/Business_Data!$E147</f>
        <v>4891</v>
      </c>
    </row>
    <row r="148" spans="1:10" x14ac:dyDescent="0.35">
      <c r="A148" s="12">
        <v>45598</v>
      </c>
      <c r="B148" s="8" t="s">
        <v>7</v>
      </c>
      <c r="C148" s="8" t="s">
        <v>15</v>
      </c>
      <c r="D148" s="8" t="s">
        <v>12</v>
      </c>
      <c r="E148" s="8">
        <v>100</v>
      </c>
      <c r="F148" s="8">
        <v>95800</v>
      </c>
      <c r="G148" s="8">
        <v>61009.17</v>
      </c>
      <c r="H148" s="8">
        <f>Business_Data!$F148-Business_Data!$G148</f>
        <v>34790.83</v>
      </c>
      <c r="I148" s="9">
        <f>Business_Data!$H148/Business_Data!$F148</f>
        <v>0.36316106471816284</v>
      </c>
      <c r="J148" s="15">
        <f>Business_Data!$F148/Business_Data!$E148</f>
        <v>958</v>
      </c>
    </row>
    <row r="149" spans="1:10" x14ac:dyDescent="0.35">
      <c r="A149" s="13">
        <v>45433</v>
      </c>
      <c r="B149" s="10" t="s">
        <v>7</v>
      </c>
      <c r="C149" s="10" t="s">
        <v>8</v>
      </c>
      <c r="D149" s="10" t="s">
        <v>12</v>
      </c>
      <c r="E149" s="10">
        <v>77</v>
      </c>
      <c r="F149" s="10">
        <v>257180</v>
      </c>
      <c r="G149" s="10">
        <v>211330.45</v>
      </c>
      <c r="H149" s="10">
        <f>Business_Data!$F149-Business_Data!$G149</f>
        <v>45849.549999999988</v>
      </c>
      <c r="I149" s="11">
        <f>Business_Data!$H149/Business_Data!$F149</f>
        <v>0.17827805428104826</v>
      </c>
      <c r="J149" s="14">
        <f>Business_Data!$F149/Business_Data!$E149</f>
        <v>3340</v>
      </c>
    </row>
    <row r="150" spans="1:10" x14ac:dyDescent="0.35">
      <c r="A150" s="12">
        <v>45418</v>
      </c>
      <c r="B150" s="8" t="s">
        <v>13</v>
      </c>
      <c r="C150" s="8" t="s">
        <v>11</v>
      </c>
      <c r="D150" s="8" t="s">
        <v>16</v>
      </c>
      <c r="E150" s="8">
        <v>132</v>
      </c>
      <c r="F150" s="8">
        <v>436788</v>
      </c>
      <c r="G150" s="8">
        <v>250640.56</v>
      </c>
      <c r="H150" s="8">
        <f>Business_Data!$F150-Business_Data!$G150</f>
        <v>186147.44</v>
      </c>
      <c r="I150" s="9">
        <f>Business_Data!$H150/Business_Data!$F150</f>
        <v>0.42617342967297639</v>
      </c>
      <c r="J150" s="15">
        <f>Business_Data!$F150/Business_Data!$E150</f>
        <v>3309</v>
      </c>
    </row>
    <row r="151" spans="1:10" x14ac:dyDescent="0.35">
      <c r="A151" s="13">
        <v>45367</v>
      </c>
      <c r="B151" s="10" t="s">
        <v>13</v>
      </c>
      <c r="C151" s="10" t="s">
        <v>8</v>
      </c>
      <c r="D151" s="10" t="s">
        <v>16</v>
      </c>
      <c r="E151" s="10">
        <v>96</v>
      </c>
      <c r="F151" s="10">
        <v>365184</v>
      </c>
      <c r="G151" s="10">
        <v>220420.91</v>
      </c>
      <c r="H151" s="10">
        <f>Business_Data!$F151-Business_Data!$G151</f>
        <v>144763.09</v>
      </c>
      <c r="I151" s="11">
        <f>Business_Data!$H151/Business_Data!$F151</f>
        <v>0.39641137070627408</v>
      </c>
      <c r="J151" s="14">
        <f>Business_Data!$F151/Business_Data!$E151</f>
        <v>3804</v>
      </c>
    </row>
    <row r="152" spans="1:10" x14ac:dyDescent="0.35">
      <c r="A152" s="12">
        <v>45358</v>
      </c>
      <c r="B152" s="8" t="s">
        <v>13</v>
      </c>
      <c r="C152" s="8" t="s">
        <v>15</v>
      </c>
      <c r="D152" s="8" t="s">
        <v>12</v>
      </c>
      <c r="E152" s="8">
        <v>58</v>
      </c>
      <c r="F152" s="8">
        <v>127426</v>
      </c>
      <c r="G152" s="8">
        <v>103653.21</v>
      </c>
      <c r="H152" s="8">
        <f>Business_Data!$F152-Business_Data!$G152</f>
        <v>23772.789999999994</v>
      </c>
      <c r="I152" s="9">
        <f>Business_Data!$H152/Business_Data!$F152</f>
        <v>0.18656153375292323</v>
      </c>
      <c r="J152" s="15">
        <f>Business_Data!$F152/Business_Data!$E152</f>
        <v>2197</v>
      </c>
    </row>
    <row r="153" spans="1:10" x14ac:dyDescent="0.35">
      <c r="A153" s="13">
        <v>45424</v>
      </c>
      <c r="B153" s="10" t="s">
        <v>13</v>
      </c>
      <c r="C153" s="10" t="s">
        <v>8</v>
      </c>
      <c r="D153" s="10" t="s">
        <v>16</v>
      </c>
      <c r="E153" s="10">
        <v>172</v>
      </c>
      <c r="F153" s="10">
        <v>386312</v>
      </c>
      <c r="G153" s="10">
        <v>254631</v>
      </c>
      <c r="H153" s="10">
        <f>Business_Data!$F153-Business_Data!$G153</f>
        <v>131681</v>
      </c>
      <c r="I153" s="11">
        <f>Business_Data!$H153/Business_Data!$F153</f>
        <v>0.34086696763238006</v>
      </c>
      <c r="J153" s="14">
        <f>Business_Data!$F153/Business_Data!$E153</f>
        <v>2246</v>
      </c>
    </row>
    <row r="154" spans="1:10" x14ac:dyDescent="0.35">
      <c r="A154" s="12">
        <v>45518</v>
      </c>
      <c r="B154" s="8" t="s">
        <v>14</v>
      </c>
      <c r="C154" s="8" t="s">
        <v>15</v>
      </c>
      <c r="D154" s="8" t="s">
        <v>16</v>
      </c>
      <c r="E154" s="8">
        <v>10</v>
      </c>
      <c r="F154" s="8">
        <v>7300</v>
      </c>
      <c r="G154" s="8">
        <v>5770.09</v>
      </c>
      <c r="H154" s="8">
        <f>Business_Data!$F154-Business_Data!$G154</f>
        <v>1529.9099999999999</v>
      </c>
      <c r="I154" s="9">
        <f>Business_Data!$H154/Business_Data!$F154</f>
        <v>0.2095767123287671</v>
      </c>
      <c r="J154" s="15">
        <f>Business_Data!$F154/Business_Data!$E154</f>
        <v>730</v>
      </c>
    </row>
    <row r="155" spans="1:10" x14ac:dyDescent="0.35">
      <c r="A155" s="13">
        <v>45530</v>
      </c>
      <c r="B155" s="10" t="s">
        <v>10</v>
      </c>
      <c r="C155" s="10" t="s">
        <v>11</v>
      </c>
      <c r="D155" s="10" t="s">
        <v>9</v>
      </c>
      <c r="E155" s="10">
        <v>60</v>
      </c>
      <c r="F155" s="10">
        <v>49620</v>
      </c>
      <c r="G155" s="10">
        <v>27914.39</v>
      </c>
      <c r="H155" s="10">
        <f>Business_Data!$F155-Business_Data!$G155</f>
        <v>21705.61</v>
      </c>
      <c r="I155" s="11">
        <f>Business_Data!$H155/Business_Data!$F155</f>
        <v>0.43743671906489318</v>
      </c>
      <c r="J155" s="14">
        <f>Business_Data!$F155/Business_Data!$E155</f>
        <v>827</v>
      </c>
    </row>
    <row r="156" spans="1:10" x14ac:dyDescent="0.35">
      <c r="A156" s="12">
        <v>45406</v>
      </c>
      <c r="B156" s="8" t="s">
        <v>10</v>
      </c>
      <c r="C156" s="8" t="s">
        <v>8</v>
      </c>
      <c r="D156" s="8" t="s">
        <v>9</v>
      </c>
      <c r="E156" s="8">
        <v>9</v>
      </c>
      <c r="F156" s="8">
        <v>40185</v>
      </c>
      <c r="G156" s="8">
        <v>27575.61</v>
      </c>
      <c r="H156" s="8">
        <f>Business_Data!$F156-Business_Data!$G156</f>
        <v>12609.39</v>
      </c>
      <c r="I156" s="9">
        <f>Business_Data!$H156/Business_Data!$F156</f>
        <v>0.3137835013064576</v>
      </c>
      <c r="J156" s="15">
        <f>Business_Data!$F156/Business_Data!$E156</f>
        <v>4465</v>
      </c>
    </row>
    <row r="157" spans="1:10" x14ac:dyDescent="0.35">
      <c r="A157" s="13">
        <v>45498</v>
      </c>
      <c r="B157" s="10" t="s">
        <v>7</v>
      </c>
      <c r="C157" s="10" t="s">
        <v>15</v>
      </c>
      <c r="D157" s="10" t="s">
        <v>9</v>
      </c>
      <c r="E157" s="10">
        <v>112</v>
      </c>
      <c r="F157" s="10">
        <v>206192</v>
      </c>
      <c r="G157" s="10">
        <v>106699.33</v>
      </c>
      <c r="H157" s="10">
        <f>Business_Data!$F157-Business_Data!$G157</f>
        <v>99492.67</v>
      </c>
      <c r="I157" s="11">
        <f>Business_Data!$H157/Business_Data!$F157</f>
        <v>0.48252439473888414</v>
      </c>
      <c r="J157" s="14">
        <f>Business_Data!$F157/Business_Data!$E157</f>
        <v>1841</v>
      </c>
    </row>
    <row r="158" spans="1:10" x14ac:dyDescent="0.35">
      <c r="A158" s="12">
        <v>45346</v>
      </c>
      <c r="B158" s="8" t="s">
        <v>10</v>
      </c>
      <c r="C158" s="8" t="s">
        <v>8</v>
      </c>
      <c r="D158" s="8" t="s">
        <v>9</v>
      </c>
      <c r="E158" s="8">
        <v>148</v>
      </c>
      <c r="F158" s="8">
        <v>298516</v>
      </c>
      <c r="G158" s="8">
        <v>164356.06</v>
      </c>
      <c r="H158" s="8">
        <f>Business_Data!$F158-Business_Data!$G158</f>
        <v>134159.94</v>
      </c>
      <c r="I158" s="9">
        <f>Business_Data!$H158/Business_Data!$F158</f>
        <v>0.44942294550375861</v>
      </c>
      <c r="J158" s="15">
        <f>Business_Data!$F158/Business_Data!$E158</f>
        <v>2017</v>
      </c>
    </row>
    <row r="159" spans="1:10" x14ac:dyDescent="0.35">
      <c r="A159" s="13">
        <v>45456</v>
      </c>
      <c r="B159" s="10" t="s">
        <v>13</v>
      </c>
      <c r="C159" s="10" t="s">
        <v>8</v>
      </c>
      <c r="D159" s="10" t="s">
        <v>16</v>
      </c>
      <c r="E159" s="10">
        <v>17</v>
      </c>
      <c r="F159" s="10">
        <v>15232</v>
      </c>
      <c r="G159" s="10">
        <v>8587.17</v>
      </c>
      <c r="H159" s="10">
        <f>Business_Data!$F159-Business_Data!$G159</f>
        <v>6644.83</v>
      </c>
      <c r="I159" s="11">
        <f>Business_Data!$H159/Business_Data!$F159</f>
        <v>0.43624146533613445</v>
      </c>
      <c r="J159" s="14">
        <f>Business_Data!$F159/Business_Data!$E159</f>
        <v>896</v>
      </c>
    </row>
    <row r="160" spans="1:10" x14ac:dyDescent="0.35">
      <c r="A160" s="12">
        <v>45610</v>
      </c>
      <c r="B160" s="8" t="s">
        <v>7</v>
      </c>
      <c r="C160" s="8" t="s">
        <v>11</v>
      </c>
      <c r="D160" s="8" t="s">
        <v>12</v>
      </c>
      <c r="E160" s="8">
        <v>184</v>
      </c>
      <c r="F160" s="8">
        <v>375728</v>
      </c>
      <c r="G160" s="8">
        <v>299623.36</v>
      </c>
      <c r="H160" s="8">
        <f>Business_Data!$F160-Business_Data!$G160</f>
        <v>76104.640000000014</v>
      </c>
      <c r="I160" s="9">
        <f>Business_Data!$H160/Business_Data!$F160</f>
        <v>0.20255248477622112</v>
      </c>
      <c r="J160" s="15">
        <f>Business_Data!$F160/Business_Data!$E160</f>
        <v>2042</v>
      </c>
    </row>
    <row r="161" spans="1:10" x14ac:dyDescent="0.35">
      <c r="A161" s="13">
        <v>45586</v>
      </c>
      <c r="B161" s="10" t="s">
        <v>7</v>
      </c>
      <c r="C161" s="10" t="s">
        <v>11</v>
      </c>
      <c r="D161" s="10" t="s">
        <v>12</v>
      </c>
      <c r="E161" s="10">
        <v>199</v>
      </c>
      <c r="F161" s="10">
        <v>683963</v>
      </c>
      <c r="G161" s="10">
        <v>563938.81000000006</v>
      </c>
      <c r="H161" s="10">
        <f>Business_Data!$F161-Business_Data!$G161</f>
        <v>120024.18999999994</v>
      </c>
      <c r="I161" s="11">
        <f>Business_Data!$H161/Business_Data!$F161</f>
        <v>0.17548345451435229</v>
      </c>
      <c r="J161" s="14">
        <f>Business_Data!$F161/Business_Data!$E161</f>
        <v>3437</v>
      </c>
    </row>
    <row r="162" spans="1:10" x14ac:dyDescent="0.35">
      <c r="A162" s="12">
        <v>45572</v>
      </c>
      <c r="B162" s="8" t="s">
        <v>13</v>
      </c>
      <c r="C162" s="8" t="s">
        <v>15</v>
      </c>
      <c r="D162" s="8" t="s">
        <v>16</v>
      </c>
      <c r="E162" s="8">
        <v>74</v>
      </c>
      <c r="F162" s="8">
        <v>350020</v>
      </c>
      <c r="G162" s="8">
        <v>223885.76</v>
      </c>
      <c r="H162" s="8">
        <f>Business_Data!$F162-Business_Data!$G162</f>
        <v>126134.23999999999</v>
      </c>
      <c r="I162" s="9">
        <f>Business_Data!$H162/Business_Data!$F162</f>
        <v>0.36036295068853208</v>
      </c>
      <c r="J162" s="15">
        <f>Business_Data!$F162/Business_Data!$E162</f>
        <v>4730</v>
      </c>
    </row>
    <row r="163" spans="1:10" x14ac:dyDescent="0.35">
      <c r="A163" s="13">
        <v>45293</v>
      </c>
      <c r="B163" s="10" t="s">
        <v>10</v>
      </c>
      <c r="C163" s="10" t="s">
        <v>11</v>
      </c>
      <c r="D163" s="10" t="s">
        <v>16</v>
      </c>
      <c r="E163" s="10">
        <v>198</v>
      </c>
      <c r="F163" s="10">
        <v>772992</v>
      </c>
      <c r="G163" s="10">
        <v>389935.16</v>
      </c>
      <c r="H163" s="10">
        <f>Business_Data!$F163-Business_Data!$G163</f>
        <v>383056.84</v>
      </c>
      <c r="I163" s="11">
        <f>Business_Data!$H163/Business_Data!$F163</f>
        <v>0.4955508465805597</v>
      </c>
      <c r="J163" s="14">
        <f>Business_Data!$F163/Business_Data!$E163</f>
        <v>3904</v>
      </c>
    </row>
    <row r="164" spans="1:10" x14ac:dyDescent="0.35">
      <c r="A164" s="12">
        <v>45350</v>
      </c>
      <c r="B164" s="8" t="s">
        <v>13</v>
      </c>
      <c r="C164" s="8" t="s">
        <v>15</v>
      </c>
      <c r="D164" s="8" t="s">
        <v>16</v>
      </c>
      <c r="E164" s="8">
        <v>18</v>
      </c>
      <c r="F164" s="8">
        <v>20934</v>
      </c>
      <c r="G164" s="8">
        <v>10751.71</v>
      </c>
      <c r="H164" s="8">
        <f>Business_Data!$F164-Business_Data!$G164</f>
        <v>10182.290000000001</v>
      </c>
      <c r="I164" s="9">
        <f>Business_Data!$H164/Business_Data!$F164</f>
        <v>0.48639963695423716</v>
      </c>
      <c r="J164" s="15">
        <f>Business_Data!$F164/Business_Data!$E164</f>
        <v>1163</v>
      </c>
    </row>
    <row r="165" spans="1:10" x14ac:dyDescent="0.35">
      <c r="A165" s="13">
        <v>45591</v>
      </c>
      <c r="B165" s="10" t="s">
        <v>14</v>
      </c>
      <c r="C165" s="10" t="s">
        <v>15</v>
      </c>
      <c r="D165" s="10" t="s">
        <v>12</v>
      </c>
      <c r="E165" s="10">
        <v>15</v>
      </c>
      <c r="F165" s="10">
        <v>45525</v>
      </c>
      <c r="G165" s="10">
        <v>26313.91</v>
      </c>
      <c r="H165" s="10">
        <f>Business_Data!$F165-Business_Data!$G165</f>
        <v>19211.09</v>
      </c>
      <c r="I165" s="11">
        <f>Business_Data!$H165/Business_Data!$F165</f>
        <v>0.42198989566172435</v>
      </c>
      <c r="J165" s="14">
        <f>Business_Data!$F165/Business_Data!$E165</f>
        <v>3035</v>
      </c>
    </row>
    <row r="166" spans="1:10" x14ac:dyDescent="0.35">
      <c r="A166" s="12">
        <v>45310</v>
      </c>
      <c r="B166" s="8" t="s">
        <v>10</v>
      </c>
      <c r="C166" s="8" t="s">
        <v>8</v>
      </c>
      <c r="D166" s="8" t="s">
        <v>12</v>
      </c>
      <c r="E166" s="8">
        <v>5</v>
      </c>
      <c r="F166" s="8">
        <v>5135</v>
      </c>
      <c r="G166" s="8">
        <v>2737.78</v>
      </c>
      <c r="H166" s="8">
        <f>Business_Data!$F166-Business_Data!$G166</f>
        <v>2397.2199999999998</v>
      </c>
      <c r="I166" s="9">
        <f>Business_Data!$H166/Business_Data!$F166</f>
        <v>0.46683933787731252</v>
      </c>
      <c r="J166" s="15">
        <f>Business_Data!$F166/Business_Data!$E166</f>
        <v>1027</v>
      </c>
    </row>
    <row r="167" spans="1:10" x14ac:dyDescent="0.35">
      <c r="A167" s="13">
        <v>45308</v>
      </c>
      <c r="B167" s="10" t="s">
        <v>14</v>
      </c>
      <c r="C167" s="10" t="s">
        <v>15</v>
      </c>
      <c r="D167" s="10" t="s">
        <v>9</v>
      </c>
      <c r="E167" s="10">
        <v>54</v>
      </c>
      <c r="F167" s="10">
        <v>133758</v>
      </c>
      <c r="G167" s="10">
        <v>78096.47</v>
      </c>
      <c r="H167" s="10">
        <f>Business_Data!$F167-Business_Data!$G167</f>
        <v>55661.53</v>
      </c>
      <c r="I167" s="11">
        <f>Business_Data!$H167/Business_Data!$F167</f>
        <v>0.41613608158016718</v>
      </c>
      <c r="J167" s="14">
        <f>Business_Data!$F167/Business_Data!$E167</f>
        <v>2477</v>
      </c>
    </row>
    <row r="168" spans="1:10" x14ac:dyDescent="0.35">
      <c r="A168" s="12">
        <v>45385</v>
      </c>
      <c r="B168" s="8" t="s">
        <v>14</v>
      </c>
      <c r="C168" s="8" t="s">
        <v>15</v>
      </c>
      <c r="D168" s="8" t="s">
        <v>12</v>
      </c>
      <c r="E168" s="8">
        <v>187</v>
      </c>
      <c r="F168" s="8">
        <v>263483</v>
      </c>
      <c r="G168" s="8">
        <v>169520.42</v>
      </c>
      <c r="H168" s="8">
        <f>Business_Data!$F168-Business_Data!$G168</f>
        <v>93962.579999999987</v>
      </c>
      <c r="I168" s="9">
        <f>Business_Data!$H168/Business_Data!$F168</f>
        <v>0.35661723906286169</v>
      </c>
      <c r="J168" s="15">
        <f>Business_Data!$F168/Business_Data!$E168</f>
        <v>1409</v>
      </c>
    </row>
    <row r="169" spans="1:10" x14ac:dyDescent="0.35">
      <c r="A169" s="13">
        <v>45606</v>
      </c>
      <c r="B169" s="10" t="s">
        <v>10</v>
      </c>
      <c r="C169" s="10" t="s">
        <v>11</v>
      </c>
      <c r="D169" s="10" t="s">
        <v>12</v>
      </c>
      <c r="E169" s="10">
        <v>199</v>
      </c>
      <c r="F169" s="10">
        <v>765752</v>
      </c>
      <c r="G169" s="10">
        <v>646203.99</v>
      </c>
      <c r="H169" s="10">
        <f>Business_Data!$F169-Business_Data!$G169</f>
        <v>119548.01000000001</v>
      </c>
      <c r="I169" s="11">
        <f>Business_Data!$H169/Business_Data!$F169</f>
        <v>0.15611844304683503</v>
      </c>
      <c r="J169" s="14">
        <f>Business_Data!$F169/Business_Data!$E169</f>
        <v>3848</v>
      </c>
    </row>
    <row r="170" spans="1:10" x14ac:dyDescent="0.35">
      <c r="A170" s="12">
        <v>45445</v>
      </c>
      <c r="B170" s="8" t="s">
        <v>14</v>
      </c>
      <c r="C170" s="8" t="s">
        <v>8</v>
      </c>
      <c r="D170" s="8" t="s">
        <v>9</v>
      </c>
      <c r="E170" s="8">
        <v>109</v>
      </c>
      <c r="F170" s="8">
        <v>358174</v>
      </c>
      <c r="G170" s="8">
        <v>276875.73</v>
      </c>
      <c r="H170" s="8">
        <f>Business_Data!$F170-Business_Data!$G170</f>
        <v>81298.270000000019</v>
      </c>
      <c r="I170" s="9">
        <f>Business_Data!$H170/Business_Data!$F170</f>
        <v>0.22697981986408847</v>
      </c>
      <c r="J170" s="15">
        <f>Business_Data!$F170/Business_Data!$E170</f>
        <v>3286</v>
      </c>
    </row>
    <row r="171" spans="1:10" x14ac:dyDescent="0.35">
      <c r="A171" s="13">
        <v>45550</v>
      </c>
      <c r="B171" s="10" t="s">
        <v>13</v>
      </c>
      <c r="C171" s="10" t="s">
        <v>15</v>
      </c>
      <c r="D171" s="10" t="s">
        <v>9</v>
      </c>
      <c r="E171" s="10">
        <v>144</v>
      </c>
      <c r="F171" s="10">
        <v>139248</v>
      </c>
      <c r="G171" s="10">
        <v>88257.34</v>
      </c>
      <c r="H171" s="10">
        <f>Business_Data!$F171-Business_Data!$G171</f>
        <v>50990.66</v>
      </c>
      <c r="I171" s="11">
        <f>Business_Data!$H171/Business_Data!$F171</f>
        <v>0.36618594162932322</v>
      </c>
      <c r="J171" s="14">
        <f>Business_Data!$F171/Business_Data!$E171</f>
        <v>967</v>
      </c>
    </row>
    <row r="172" spans="1:10" x14ac:dyDescent="0.35">
      <c r="A172" s="12">
        <v>45455</v>
      </c>
      <c r="B172" s="8" t="s">
        <v>10</v>
      </c>
      <c r="C172" s="8" t="s">
        <v>11</v>
      </c>
      <c r="D172" s="8" t="s">
        <v>16</v>
      </c>
      <c r="E172" s="8">
        <v>65</v>
      </c>
      <c r="F172" s="8">
        <v>237120</v>
      </c>
      <c r="G172" s="8">
        <v>170338.66</v>
      </c>
      <c r="H172" s="8">
        <f>Business_Data!$F172-Business_Data!$G172</f>
        <v>66781.34</v>
      </c>
      <c r="I172" s="9">
        <f>Business_Data!$H172/Business_Data!$F172</f>
        <v>0.28163520580296897</v>
      </c>
      <c r="J172" s="15">
        <f>Business_Data!$F172/Business_Data!$E172</f>
        <v>3648</v>
      </c>
    </row>
    <row r="173" spans="1:10" x14ac:dyDescent="0.35">
      <c r="A173" s="13">
        <v>45552</v>
      </c>
      <c r="B173" s="10" t="s">
        <v>13</v>
      </c>
      <c r="C173" s="10" t="s">
        <v>11</v>
      </c>
      <c r="D173" s="10" t="s">
        <v>9</v>
      </c>
      <c r="E173" s="10">
        <v>49</v>
      </c>
      <c r="F173" s="10">
        <v>145628</v>
      </c>
      <c r="G173" s="10">
        <v>98220.56</v>
      </c>
      <c r="H173" s="10">
        <f>Business_Data!$F173-Business_Data!$G173</f>
        <v>47407.44</v>
      </c>
      <c r="I173" s="11">
        <f>Business_Data!$H173/Business_Data!$F173</f>
        <v>0.32553794599939573</v>
      </c>
      <c r="J173" s="14">
        <f>Business_Data!$F173/Business_Data!$E173</f>
        <v>2972</v>
      </c>
    </row>
    <row r="174" spans="1:10" x14ac:dyDescent="0.35">
      <c r="A174" s="12">
        <v>45313</v>
      </c>
      <c r="B174" s="8" t="s">
        <v>14</v>
      </c>
      <c r="C174" s="8" t="s">
        <v>11</v>
      </c>
      <c r="D174" s="8" t="s">
        <v>16</v>
      </c>
      <c r="E174" s="8">
        <v>149</v>
      </c>
      <c r="F174" s="8">
        <v>398128</v>
      </c>
      <c r="G174" s="8">
        <v>222855.73</v>
      </c>
      <c r="H174" s="8">
        <f>Business_Data!$F174-Business_Data!$G174</f>
        <v>175272.27</v>
      </c>
      <c r="I174" s="9">
        <f>Business_Data!$H174/Business_Data!$F174</f>
        <v>0.44024100289354173</v>
      </c>
      <c r="J174" s="15">
        <f>Business_Data!$F174/Business_Data!$E174</f>
        <v>2672</v>
      </c>
    </row>
    <row r="175" spans="1:10" x14ac:dyDescent="0.35">
      <c r="A175" s="13">
        <v>45542</v>
      </c>
      <c r="B175" s="10" t="s">
        <v>10</v>
      </c>
      <c r="C175" s="10" t="s">
        <v>8</v>
      </c>
      <c r="D175" s="10" t="s">
        <v>16</v>
      </c>
      <c r="E175" s="10">
        <v>19</v>
      </c>
      <c r="F175" s="10">
        <v>75620</v>
      </c>
      <c r="G175" s="10">
        <v>41121.040000000001</v>
      </c>
      <c r="H175" s="10">
        <f>Business_Data!$F175-Business_Data!$G175</f>
        <v>34498.959999999999</v>
      </c>
      <c r="I175" s="11">
        <f>Business_Data!$H175/Business_Data!$F175</f>
        <v>0.45621475800052896</v>
      </c>
      <c r="J175" s="14">
        <f>Business_Data!$F175/Business_Data!$E175</f>
        <v>3980</v>
      </c>
    </row>
    <row r="176" spans="1:10" x14ac:dyDescent="0.35">
      <c r="A176" s="12">
        <v>45580</v>
      </c>
      <c r="B176" s="8" t="s">
        <v>10</v>
      </c>
      <c r="C176" s="8" t="s">
        <v>8</v>
      </c>
      <c r="D176" s="8" t="s">
        <v>16</v>
      </c>
      <c r="E176" s="8">
        <v>26</v>
      </c>
      <c r="F176" s="8">
        <v>45058</v>
      </c>
      <c r="G176" s="8">
        <v>34294.589999999997</v>
      </c>
      <c r="H176" s="8">
        <f>Business_Data!$F176-Business_Data!$G176</f>
        <v>10763.410000000003</v>
      </c>
      <c r="I176" s="9">
        <f>Business_Data!$H176/Business_Data!$F176</f>
        <v>0.23887900039948518</v>
      </c>
      <c r="J176" s="15">
        <f>Business_Data!$F176/Business_Data!$E176</f>
        <v>1733</v>
      </c>
    </row>
    <row r="177" spans="1:10" x14ac:dyDescent="0.35">
      <c r="A177" s="13">
        <v>45308</v>
      </c>
      <c r="B177" s="10" t="s">
        <v>10</v>
      </c>
      <c r="C177" s="10" t="s">
        <v>8</v>
      </c>
      <c r="D177" s="10" t="s">
        <v>12</v>
      </c>
      <c r="E177" s="10">
        <v>82</v>
      </c>
      <c r="F177" s="10">
        <v>153668</v>
      </c>
      <c r="G177" s="10">
        <v>123334.18</v>
      </c>
      <c r="H177" s="10">
        <f>Business_Data!$F177-Business_Data!$G177</f>
        <v>30333.820000000007</v>
      </c>
      <c r="I177" s="11">
        <f>Business_Data!$H177/Business_Data!$F177</f>
        <v>0.1973984173673114</v>
      </c>
      <c r="J177" s="14">
        <f>Business_Data!$F177/Business_Data!$E177</f>
        <v>1874</v>
      </c>
    </row>
    <row r="178" spans="1:10" x14ac:dyDescent="0.35">
      <c r="A178" s="12">
        <v>45328</v>
      </c>
      <c r="B178" s="8" t="s">
        <v>14</v>
      </c>
      <c r="C178" s="8" t="s">
        <v>11</v>
      </c>
      <c r="D178" s="8" t="s">
        <v>9</v>
      </c>
      <c r="E178" s="8">
        <v>83</v>
      </c>
      <c r="F178" s="8">
        <v>159443</v>
      </c>
      <c r="G178" s="8">
        <v>84700.69</v>
      </c>
      <c r="H178" s="8">
        <f>Business_Data!$F178-Business_Data!$G178</f>
        <v>74742.31</v>
      </c>
      <c r="I178" s="9">
        <f>Business_Data!$H178/Business_Data!$F178</f>
        <v>0.4687713477543699</v>
      </c>
      <c r="J178" s="15">
        <f>Business_Data!$F178/Business_Data!$E178</f>
        <v>1921</v>
      </c>
    </row>
    <row r="179" spans="1:10" x14ac:dyDescent="0.35">
      <c r="A179" s="13">
        <v>45488</v>
      </c>
      <c r="B179" s="10" t="s">
        <v>10</v>
      </c>
      <c r="C179" s="10" t="s">
        <v>15</v>
      </c>
      <c r="D179" s="10" t="s">
        <v>9</v>
      </c>
      <c r="E179" s="10">
        <v>171</v>
      </c>
      <c r="F179" s="10">
        <v>529074</v>
      </c>
      <c r="G179" s="10">
        <v>430813.44</v>
      </c>
      <c r="H179" s="10">
        <f>Business_Data!$F179-Business_Data!$G179</f>
        <v>98260.56</v>
      </c>
      <c r="I179" s="11">
        <f>Business_Data!$H179/Business_Data!$F179</f>
        <v>0.18572177048957234</v>
      </c>
      <c r="J179" s="14">
        <f>Business_Data!$F179/Business_Data!$E179</f>
        <v>3094</v>
      </c>
    </row>
    <row r="180" spans="1:10" x14ac:dyDescent="0.35">
      <c r="A180" s="12">
        <v>45309</v>
      </c>
      <c r="B180" s="8" t="s">
        <v>14</v>
      </c>
      <c r="C180" s="8" t="s">
        <v>11</v>
      </c>
      <c r="D180" s="8" t="s">
        <v>12</v>
      </c>
      <c r="E180" s="8">
        <v>94</v>
      </c>
      <c r="F180" s="8">
        <v>323266</v>
      </c>
      <c r="G180" s="8">
        <v>267850.81</v>
      </c>
      <c r="H180" s="8">
        <f>Business_Data!$F180-Business_Data!$G180</f>
        <v>55415.19</v>
      </c>
      <c r="I180" s="9">
        <f>Business_Data!$H180/Business_Data!$F180</f>
        <v>0.17142288394077942</v>
      </c>
      <c r="J180" s="15">
        <f>Business_Data!$F180/Business_Data!$E180</f>
        <v>3439</v>
      </c>
    </row>
    <row r="181" spans="1:10" x14ac:dyDescent="0.35">
      <c r="A181" s="13">
        <v>45399</v>
      </c>
      <c r="B181" s="10" t="s">
        <v>14</v>
      </c>
      <c r="C181" s="10" t="s">
        <v>15</v>
      </c>
      <c r="D181" s="10" t="s">
        <v>16</v>
      </c>
      <c r="E181" s="10">
        <v>14</v>
      </c>
      <c r="F181" s="10">
        <v>57680</v>
      </c>
      <c r="G181" s="10">
        <v>38977.69</v>
      </c>
      <c r="H181" s="10">
        <f>Business_Data!$F181-Business_Data!$G181</f>
        <v>18702.309999999998</v>
      </c>
      <c r="I181" s="11">
        <f>Business_Data!$H181/Business_Data!$F181</f>
        <v>0.32424254507628292</v>
      </c>
      <c r="J181" s="14">
        <f>Business_Data!$F181/Business_Data!$E181</f>
        <v>4120</v>
      </c>
    </row>
    <row r="182" spans="1:10" x14ac:dyDescent="0.35">
      <c r="A182" s="12">
        <v>45397</v>
      </c>
      <c r="B182" s="8" t="s">
        <v>14</v>
      </c>
      <c r="C182" s="8" t="s">
        <v>11</v>
      </c>
      <c r="D182" s="8" t="s">
        <v>16</v>
      </c>
      <c r="E182" s="8">
        <v>140</v>
      </c>
      <c r="F182" s="8">
        <v>492800</v>
      </c>
      <c r="G182" s="8">
        <v>262326.58</v>
      </c>
      <c r="H182" s="8">
        <f>Business_Data!$F182-Business_Data!$G182</f>
        <v>230473.41999999998</v>
      </c>
      <c r="I182" s="9">
        <f>Business_Data!$H182/Business_Data!$F182</f>
        <v>0.46768145292207791</v>
      </c>
      <c r="J182" s="15">
        <f>Business_Data!$F182/Business_Data!$E182</f>
        <v>3520</v>
      </c>
    </row>
    <row r="183" spans="1:10" x14ac:dyDescent="0.35">
      <c r="A183" s="13">
        <v>45502</v>
      </c>
      <c r="B183" s="10" t="s">
        <v>10</v>
      </c>
      <c r="C183" s="10" t="s">
        <v>11</v>
      </c>
      <c r="D183" s="10" t="s">
        <v>16</v>
      </c>
      <c r="E183" s="10">
        <v>56</v>
      </c>
      <c r="F183" s="10">
        <v>65240</v>
      </c>
      <c r="G183" s="10">
        <v>45812.28</v>
      </c>
      <c r="H183" s="10">
        <f>Business_Data!$F183-Business_Data!$G183</f>
        <v>19427.72</v>
      </c>
      <c r="I183" s="11">
        <f>Business_Data!$H183/Business_Data!$F183</f>
        <v>0.29778847332924591</v>
      </c>
      <c r="J183" s="14">
        <f>Business_Data!$F183/Business_Data!$E183</f>
        <v>1165</v>
      </c>
    </row>
    <row r="184" spans="1:10" x14ac:dyDescent="0.35">
      <c r="A184" s="12">
        <v>45309</v>
      </c>
      <c r="B184" s="8" t="s">
        <v>13</v>
      </c>
      <c r="C184" s="8" t="s">
        <v>11</v>
      </c>
      <c r="D184" s="8" t="s">
        <v>12</v>
      </c>
      <c r="E184" s="8">
        <v>141</v>
      </c>
      <c r="F184" s="8">
        <v>378162</v>
      </c>
      <c r="G184" s="8">
        <v>206529.4</v>
      </c>
      <c r="H184" s="8">
        <f>Business_Data!$F184-Business_Data!$G184</f>
        <v>171632.6</v>
      </c>
      <c r="I184" s="9">
        <f>Business_Data!$H184/Business_Data!$F184</f>
        <v>0.45385998593195509</v>
      </c>
      <c r="J184" s="15">
        <f>Business_Data!$F184/Business_Data!$E184</f>
        <v>2682</v>
      </c>
    </row>
    <row r="185" spans="1:10" x14ac:dyDescent="0.35">
      <c r="A185" s="13">
        <v>45596</v>
      </c>
      <c r="B185" s="10" t="s">
        <v>14</v>
      </c>
      <c r="C185" s="10" t="s">
        <v>11</v>
      </c>
      <c r="D185" s="10" t="s">
        <v>12</v>
      </c>
      <c r="E185" s="10">
        <v>33</v>
      </c>
      <c r="F185" s="10">
        <v>111969</v>
      </c>
      <c r="G185" s="10">
        <v>66095.58</v>
      </c>
      <c r="H185" s="10">
        <f>Business_Data!$F185-Business_Data!$G185</f>
        <v>45873.42</v>
      </c>
      <c r="I185" s="11">
        <f>Business_Data!$H185/Business_Data!$F185</f>
        <v>0.40969750555957452</v>
      </c>
      <c r="J185" s="14">
        <f>Business_Data!$F185/Business_Data!$E185</f>
        <v>3393</v>
      </c>
    </row>
    <row r="186" spans="1:10" x14ac:dyDescent="0.35">
      <c r="A186" s="12">
        <v>45338</v>
      </c>
      <c r="B186" s="8" t="s">
        <v>13</v>
      </c>
      <c r="C186" s="8" t="s">
        <v>11</v>
      </c>
      <c r="D186" s="8" t="s">
        <v>12</v>
      </c>
      <c r="E186" s="8">
        <v>142</v>
      </c>
      <c r="F186" s="8">
        <v>179346</v>
      </c>
      <c r="G186" s="8">
        <v>130452.62</v>
      </c>
      <c r="H186" s="8">
        <f>Business_Data!$F186-Business_Data!$G186</f>
        <v>48893.380000000005</v>
      </c>
      <c r="I186" s="9">
        <f>Business_Data!$H186/Business_Data!$F186</f>
        <v>0.27262040971083829</v>
      </c>
      <c r="J186" s="15">
        <f>Business_Data!$F186/Business_Data!$E186</f>
        <v>1263</v>
      </c>
    </row>
    <row r="187" spans="1:10" x14ac:dyDescent="0.35">
      <c r="A187" s="13">
        <v>45612</v>
      </c>
      <c r="B187" s="10" t="s">
        <v>7</v>
      </c>
      <c r="C187" s="10" t="s">
        <v>8</v>
      </c>
      <c r="D187" s="10" t="s">
        <v>12</v>
      </c>
      <c r="E187" s="10">
        <v>194</v>
      </c>
      <c r="F187" s="10">
        <v>439604</v>
      </c>
      <c r="G187" s="10">
        <v>365100.73</v>
      </c>
      <c r="H187" s="10">
        <f>Business_Data!$F187-Business_Data!$G187</f>
        <v>74503.270000000019</v>
      </c>
      <c r="I187" s="11">
        <f>Business_Data!$H187/Business_Data!$F187</f>
        <v>0.16947814396593303</v>
      </c>
      <c r="J187" s="14">
        <f>Business_Data!$F187/Business_Data!$E187</f>
        <v>2266</v>
      </c>
    </row>
    <row r="188" spans="1:10" x14ac:dyDescent="0.35">
      <c r="A188" s="12">
        <v>45512</v>
      </c>
      <c r="B188" s="8" t="s">
        <v>7</v>
      </c>
      <c r="C188" s="8" t="s">
        <v>15</v>
      </c>
      <c r="D188" s="8" t="s">
        <v>12</v>
      </c>
      <c r="E188" s="8">
        <v>145</v>
      </c>
      <c r="F188" s="8">
        <v>282460</v>
      </c>
      <c r="G188" s="8">
        <v>201574.98</v>
      </c>
      <c r="H188" s="8">
        <f>Business_Data!$F188-Business_Data!$G188</f>
        <v>80885.01999999999</v>
      </c>
      <c r="I188" s="9">
        <f>Business_Data!$H188/Business_Data!$F188</f>
        <v>0.28635920130283932</v>
      </c>
      <c r="J188" s="15">
        <f>Business_Data!$F188/Business_Data!$E188</f>
        <v>1948</v>
      </c>
    </row>
    <row r="189" spans="1:10" x14ac:dyDescent="0.35">
      <c r="A189" s="13">
        <v>45456</v>
      </c>
      <c r="B189" s="10" t="s">
        <v>14</v>
      </c>
      <c r="C189" s="10" t="s">
        <v>8</v>
      </c>
      <c r="D189" s="10" t="s">
        <v>9</v>
      </c>
      <c r="E189" s="10">
        <v>156</v>
      </c>
      <c r="F189" s="10">
        <v>655044</v>
      </c>
      <c r="G189" s="10">
        <v>473618.24</v>
      </c>
      <c r="H189" s="10">
        <f>Business_Data!$F189-Business_Data!$G189</f>
        <v>181425.76</v>
      </c>
      <c r="I189" s="11">
        <f>Business_Data!$H189/Business_Data!$F189</f>
        <v>0.27696728769365114</v>
      </c>
      <c r="J189" s="14">
        <f>Business_Data!$F189/Business_Data!$E189</f>
        <v>4199</v>
      </c>
    </row>
    <row r="190" spans="1:10" x14ac:dyDescent="0.35">
      <c r="A190" s="12">
        <v>45466</v>
      </c>
      <c r="B190" s="8" t="s">
        <v>10</v>
      </c>
      <c r="C190" s="8" t="s">
        <v>8</v>
      </c>
      <c r="D190" s="8" t="s">
        <v>9</v>
      </c>
      <c r="E190" s="8">
        <v>39</v>
      </c>
      <c r="F190" s="8">
        <v>84747</v>
      </c>
      <c r="G190" s="8">
        <v>56094.82</v>
      </c>
      <c r="H190" s="8">
        <f>Business_Data!$F190-Business_Data!$G190</f>
        <v>28652.18</v>
      </c>
      <c r="I190" s="9">
        <f>Business_Data!$H190/Business_Data!$F190</f>
        <v>0.33809078787449703</v>
      </c>
      <c r="J190" s="15">
        <f>Business_Data!$F190/Business_Data!$E190</f>
        <v>2173</v>
      </c>
    </row>
    <row r="191" spans="1:10" x14ac:dyDescent="0.35">
      <c r="A191" s="13">
        <v>45323</v>
      </c>
      <c r="B191" s="10" t="s">
        <v>10</v>
      </c>
      <c r="C191" s="10" t="s">
        <v>15</v>
      </c>
      <c r="D191" s="10" t="s">
        <v>16</v>
      </c>
      <c r="E191" s="10">
        <v>14</v>
      </c>
      <c r="F191" s="10">
        <v>16660</v>
      </c>
      <c r="G191" s="10">
        <v>11560.73</v>
      </c>
      <c r="H191" s="10">
        <f>Business_Data!$F191-Business_Data!$G191</f>
        <v>5099.2700000000004</v>
      </c>
      <c r="I191" s="11">
        <f>Business_Data!$H191/Business_Data!$F191</f>
        <v>0.30607863145258107</v>
      </c>
      <c r="J191" s="14">
        <f>Business_Data!$F191/Business_Data!$E191</f>
        <v>1190</v>
      </c>
    </row>
    <row r="192" spans="1:10" x14ac:dyDescent="0.35">
      <c r="A192" s="12">
        <v>45380</v>
      </c>
      <c r="B192" s="8" t="s">
        <v>14</v>
      </c>
      <c r="C192" s="8" t="s">
        <v>11</v>
      </c>
      <c r="D192" s="8" t="s">
        <v>9</v>
      </c>
      <c r="E192" s="8">
        <v>26</v>
      </c>
      <c r="F192" s="8">
        <v>74412</v>
      </c>
      <c r="G192" s="8">
        <v>58371.03</v>
      </c>
      <c r="H192" s="8">
        <f>Business_Data!$F192-Business_Data!$G192</f>
        <v>16040.970000000001</v>
      </c>
      <c r="I192" s="9">
        <f>Business_Data!$H192/Business_Data!$F192</f>
        <v>0.21556966618287374</v>
      </c>
      <c r="J192" s="15">
        <f>Business_Data!$F192/Business_Data!$E192</f>
        <v>2862</v>
      </c>
    </row>
    <row r="193" spans="1:10" x14ac:dyDescent="0.35">
      <c r="A193" s="13">
        <v>45313</v>
      </c>
      <c r="B193" s="10" t="s">
        <v>7</v>
      </c>
      <c r="C193" s="10" t="s">
        <v>15</v>
      </c>
      <c r="D193" s="10" t="s">
        <v>16</v>
      </c>
      <c r="E193" s="10">
        <v>100</v>
      </c>
      <c r="F193" s="10">
        <v>315600</v>
      </c>
      <c r="G193" s="10">
        <v>169576.34</v>
      </c>
      <c r="H193" s="10">
        <f>Business_Data!$F193-Business_Data!$G193</f>
        <v>146023.66</v>
      </c>
      <c r="I193" s="11">
        <f>Business_Data!$H193/Business_Data!$F193</f>
        <v>0.46268586818757923</v>
      </c>
      <c r="J193" s="14">
        <f>Business_Data!$F193/Business_Data!$E193</f>
        <v>3156</v>
      </c>
    </row>
    <row r="194" spans="1:10" x14ac:dyDescent="0.35">
      <c r="A194" s="12">
        <v>45619</v>
      </c>
      <c r="B194" s="8" t="s">
        <v>10</v>
      </c>
      <c r="C194" s="8" t="s">
        <v>8</v>
      </c>
      <c r="D194" s="8" t="s">
        <v>9</v>
      </c>
      <c r="E194" s="8">
        <v>60</v>
      </c>
      <c r="F194" s="8">
        <v>262980</v>
      </c>
      <c r="G194" s="8">
        <v>202368.48</v>
      </c>
      <c r="H194" s="8">
        <f>Business_Data!$F194-Business_Data!$G194</f>
        <v>60611.51999999999</v>
      </c>
      <c r="I194" s="9">
        <f>Business_Data!$H194/Business_Data!$F194</f>
        <v>0.23047958019621259</v>
      </c>
      <c r="J194" s="15">
        <f>Business_Data!$F194/Business_Data!$E194</f>
        <v>4383</v>
      </c>
    </row>
    <row r="195" spans="1:10" x14ac:dyDescent="0.35">
      <c r="A195" s="13">
        <v>45489</v>
      </c>
      <c r="B195" s="10" t="s">
        <v>7</v>
      </c>
      <c r="C195" s="10" t="s">
        <v>11</v>
      </c>
      <c r="D195" s="10" t="s">
        <v>12</v>
      </c>
      <c r="E195" s="10">
        <v>115</v>
      </c>
      <c r="F195" s="10">
        <v>283475</v>
      </c>
      <c r="G195" s="10">
        <v>209280.6</v>
      </c>
      <c r="H195" s="10">
        <f>Business_Data!$F195-Business_Data!$G195</f>
        <v>74194.399999999994</v>
      </c>
      <c r="I195" s="11">
        <f>Business_Data!$H195/Business_Data!$F195</f>
        <v>0.26173172237410702</v>
      </c>
      <c r="J195" s="14">
        <f>Business_Data!$F195/Business_Data!$E195</f>
        <v>2465</v>
      </c>
    </row>
    <row r="196" spans="1:10" x14ac:dyDescent="0.35">
      <c r="A196" s="12">
        <v>45550</v>
      </c>
      <c r="B196" s="8" t="s">
        <v>14</v>
      </c>
      <c r="C196" s="8" t="s">
        <v>8</v>
      </c>
      <c r="D196" s="8" t="s">
        <v>12</v>
      </c>
      <c r="E196" s="8">
        <v>18</v>
      </c>
      <c r="F196" s="8">
        <v>59418</v>
      </c>
      <c r="G196" s="8">
        <v>31666.37</v>
      </c>
      <c r="H196" s="8">
        <f>Business_Data!$F196-Business_Data!$G196</f>
        <v>27751.63</v>
      </c>
      <c r="I196" s="9">
        <f>Business_Data!$H196/Business_Data!$F196</f>
        <v>0.46705762563532938</v>
      </c>
      <c r="J196" s="15">
        <f>Business_Data!$F196/Business_Data!$E196</f>
        <v>3301</v>
      </c>
    </row>
    <row r="197" spans="1:10" x14ac:dyDescent="0.35">
      <c r="A197" s="13">
        <v>45615</v>
      </c>
      <c r="B197" s="10" t="s">
        <v>7</v>
      </c>
      <c r="C197" s="10" t="s">
        <v>8</v>
      </c>
      <c r="D197" s="10" t="s">
        <v>12</v>
      </c>
      <c r="E197" s="10">
        <v>153</v>
      </c>
      <c r="F197" s="10">
        <v>192933</v>
      </c>
      <c r="G197" s="10">
        <v>150450.29999999999</v>
      </c>
      <c r="H197" s="10">
        <f>Business_Data!$F197-Business_Data!$G197</f>
        <v>42482.700000000012</v>
      </c>
      <c r="I197" s="11">
        <f>Business_Data!$H197/Business_Data!$F197</f>
        <v>0.22019405700424505</v>
      </c>
      <c r="J197" s="14">
        <f>Business_Data!$F197/Business_Data!$E197</f>
        <v>1261</v>
      </c>
    </row>
    <row r="198" spans="1:10" x14ac:dyDescent="0.35">
      <c r="A198" s="12">
        <v>45543</v>
      </c>
      <c r="B198" s="8" t="s">
        <v>14</v>
      </c>
      <c r="C198" s="8" t="s">
        <v>15</v>
      </c>
      <c r="D198" s="8" t="s">
        <v>9</v>
      </c>
      <c r="E198" s="8">
        <v>29</v>
      </c>
      <c r="F198" s="8">
        <v>78648</v>
      </c>
      <c r="G198" s="8">
        <v>62996.23</v>
      </c>
      <c r="H198" s="8">
        <f>Business_Data!$F198-Business_Data!$G198</f>
        <v>15651.769999999997</v>
      </c>
      <c r="I198" s="9">
        <f>Business_Data!$H198/Business_Data!$F198</f>
        <v>0.19901040077306476</v>
      </c>
      <c r="J198" s="15">
        <f>Business_Data!$F198/Business_Data!$E198</f>
        <v>2712</v>
      </c>
    </row>
    <row r="199" spans="1:10" x14ac:dyDescent="0.35">
      <c r="A199" s="13">
        <v>45462</v>
      </c>
      <c r="B199" s="10" t="s">
        <v>7</v>
      </c>
      <c r="C199" s="10" t="s">
        <v>15</v>
      </c>
      <c r="D199" s="10" t="s">
        <v>16</v>
      </c>
      <c r="E199" s="10">
        <v>190</v>
      </c>
      <c r="F199" s="10">
        <v>376770</v>
      </c>
      <c r="G199" s="10">
        <v>248336.63</v>
      </c>
      <c r="H199" s="10">
        <f>Business_Data!$F199-Business_Data!$G199</f>
        <v>128433.37</v>
      </c>
      <c r="I199" s="11">
        <f>Business_Data!$H199/Business_Data!$F199</f>
        <v>0.34088003291132518</v>
      </c>
      <c r="J199" s="14">
        <f>Business_Data!$F199/Business_Data!$E199</f>
        <v>1983</v>
      </c>
    </row>
    <row r="200" spans="1:10" x14ac:dyDescent="0.35">
      <c r="A200" s="12">
        <v>45433</v>
      </c>
      <c r="B200" s="8" t="s">
        <v>7</v>
      </c>
      <c r="C200" s="8" t="s">
        <v>11</v>
      </c>
      <c r="D200" s="8" t="s">
        <v>9</v>
      </c>
      <c r="E200" s="8">
        <v>154</v>
      </c>
      <c r="F200" s="8">
        <v>649418</v>
      </c>
      <c r="G200" s="8">
        <v>420734.97</v>
      </c>
      <c r="H200" s="8">
        <f>Business_Data!$F200-Business_Data!$G200</f>
        <v>228683.03000000003</v>
      </c>
      <c r="I200" s="9">
        <f>Business_Data!$H200/Business_Data!$F200</f>
        <v>0.35213534272225289</v>
      </c>
      <c r="J200" s="15">
        <f>Business_Data!$F200/Business_Data!$E200</f>
        <v>4217</v>
      </c>
    </row>
    <row r="201" spans="1:10" x14ac:dyDescent="0.35">
      <c r="A201" s="13">
        <v>45616</v>
      </c>
      <c r="B201" s="10" t="s">
        <v>10</v>
      </c>
      <c r="C201" s="10" t="s">
        <v>11</v>
      </c>
      <c r="D201" s="10" t="s">
        <v>9</v>
      </c>
      <c r="E201" s="10">
        <v>119</v>
      </c>
      <c r="F201" s="10">
        <v>501228</v>
      </c>
      <c r="G201" s="10">
        <v>369495.33</v>
      </c>
      <c r="H201" s="10">
        <f>Business_Data!$F201-Business_Data!$G201</f>
        <v>131732.66999999998</v>
      </c>
      <c r="I201" s="11">
        <f>Business_Data!$H201/Business_Data!$F201</f>
        <v>0.26281985443750144</v>
      </c>
      <c r="J201" s="14">
        <f>Business_Data!$F201/Business_Data!$E201</f>
        <v>4212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2C30-9181-4921-B3AF-D4E99C759E71}">
  <dimension ref="A1:F12"/>
  <sheetViews>
    <sheetView workbookViewId="0">
      <selection activeCell="C17" sqref="C17"/>
    </sheetView>
  </sheetViews>
  <sheetFormatPr defaultRowHeight="14.5" x14ac:dyDescent="0.35"/>
  <cols>
    <col min="1" max="1" width="12.36328125" bestFit="1" customWidth="1"/>
    <col min="2" max="2" width="16.08984375" bestFit="1" customWidth="1"/>
    <col min="3" max="3" width="14.36328125" bestFit="1" customWidth="1"/>
    <col min="4" max="4" width="11.81640625" bestFit="1" customWidth="1"/>
  </cols>
  <sheetData>
    <row r="1" spans="1:6" ht="23.5" x14ac:dyDescent="0.55000000000000004">
      <c r="C1" s="5"/>
      <c r="F1" s="6" t="s">
        <v>33</v>
      </c>
    </row>
    <row r="3" spans="1:6" x14ac:dyDescent="0.35">
      <c r="A3" s="3" t="s">
        <v>26</v>
      </c>
      <c r="B3" t="s">
        <v>30</v>
      </c>
      <c r="C3" t="s">
        <v>28</v>
      </c>
      <c r="D3" t="s">
        <v>29</v>
      </c>
    </row>
    <row r="4" spans="1:6" x14ac:dyDescent="0.35">
      <c r="A4" s="4" t="s">
        <v>10</v>
      </c>
      <c r="B4">
        <v>4529</v>
      </c>
      <c r="C4">
        <v>13645621</v>
      </c>
      <c r="D4">
        <v>3983183.1700000009</v>
      </c>
    </row>
    <row r="5" spans="1:6" x14ac:dyDescent="0.35">
      <c r="A5" s="4" t="s">
        <v>7</v>
      </c>
      <c r="B5">
        <v>5305</v>
      </c>
      <c r="C5">
        <v>14553584</v>
      </c>
      <c r="D5">
        <v>4891279.120000001</v>
      </c>
    </row>
    <row r="6" spans="1:6" x14ac:dyDescent="0.35">
      <c r="A6" s="4" t="s">
        <v>14</v>
      </c>
      <c r="B6">
        <v>4965</v>
      </c>
      <c r="C6">
        <v>15183789</v>
      </c>
      <c r="D6">
        <v>5309366.8199999994</v>
      </c>
    </row>
    <row r="7" spans="1:6" x14ac:dyDescent="0.35">
      <c r="A7" s="4" t="s">
        <v>13</v>
      </c>
      <c r="B7">
        <v>5023</v>
      </c>
      <c r="C7">
        <v>13648326</v>
      </c>
      <c r="D7">
        <v>4270128.4499999993</v>
      </c>
    </row>
    <row r="8" spans="1:6" x14ac:dyDescent="0.35">
      <c r="A8" s="4" t="s">
        <v>27</v>
      </c>
      <c r="B8">
        <v>19822</v>
      </c>
      <c r="C8">
        <v>57031320</v>
      </c>
      <c r="D8">
        <v>18453957.560000002</v>
      </c>
    </row>
    <row r="11" spans="1:6" x14ac:dyDescent="0.35">
      <c r="B11" t="s">
        <v>49</v>
      </c>
    </row>
    <row r="12" spans="1:6" x14ac:dyDescent="0.35">
      <c r="B12" s="20" t="s">
        <v>48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1450-00FA-42FE-A651-6050491A55B0}">
  <dimension ref="A1:D12"/>
  <sheetViews>
    <sheetView workbookViewId="0">
      <selection activeCell="C11" sqref="C11"/>
    </sheetView>
  </sheetViews>
  <sheetFormatPr defaultRowHeight="14.5" x14ac:dyDescent="0.35"/>
  <cols>
    <col min="1" max="1" width="12.36328125" bestFit="1" customWidth="1"/>
    <col min="2" max="2" width="16.08984375" bestFit="1" customWidth="1"/>
    <col min="3" max="3" width="11.81640625" bestFit="1" customWidth="1"/>
    <col min="4" max="4" width="14.36328125" bestFit="1" customWidth="1"/>
  </cols>
  <sheetData>
    <row r="1" spans="1:4" ht="23.5" x14ac:dyDescent="0.55000000000000004">
      <c r="B1" s="6" t="s">
        <v>32</v>
      </c>
    </row>
    <row r="3" spans="1:4" x14ac:dyDescent="0.35">
      <c r="A3" s="3" t="s">
        <v>26</v>
      </c>
      <c r="B3" t="s">
        <v>30</v>
      </c>
      <c r="C3" t="s">
        <v>29</v>
      </c>
      <c r="D3" t="s">
        <v>28</v>
      </c>
    </row>
    <row r="4" spans="1:4" x14ac:dyDescent="0.35">
      <c r="A4" s="4" t="s">
        <v>11</v>
      </c>
      <c r="B4">
        <v>6506</v>
      </c>
      <c r="C4">
        <v>6260650.2399999974</v>
      </c>
      <c r="D4">
        <v>19134558</v>
      </c>
    </row>
    <row r="5" spans="1:4" x14ac:dyDescent="0.35">
      <c r="A5" s="4" t="s">
        <v>8</v>
      </c>
      <c r="B5">
        <v>6977</v>
      </c>
      <c r="C5">
        <v>6851416.2000000011</v>
      </c>
      <c r="D5">
        <v>21596324</v>
      </c>
    </row>
    <row r="6" spans="1:4" x14ac:dyDescent="0.35">
      <c r="A6" s="4" t="s">
        <v>15</v>
      </c>
      <c r="B6">
        <v>6339</v>
      </c>
      <c r="C6">
        <v>5341891.1199999992</v>
      </c>
      <c r="D6">
        <v>16300438</v>
      </c>
    </row>
    <row r="7" spans="1:4" x14ac:dyDescent="0.35">
      <c r="A7" s="4" t="s">
        <v>27</v>
      </c>
      <c r="B7">
        <v>19822</v>
      </c>
      <c r="C7">
        <v>18453957.559999995</v>
      </c>
      <c r="D7">
        <v>57031320</v>
      </c>
    </row>
    <row r="11" spans="1:4" x14ac:dyDescent="0.35">
      <c r="C11" s="19" t="s">
        <v>47</v>
      </c>
    </row>
    <row r="12" spans="1:4" x14ac:dyDescent="0.35">
      <c r="B12" s="20" t="s">
        <v>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CABA-8950-4389-8C79-D9A5B55B1A10}">
  <dimension ref="A1:E13"/>
  <sheetViews>
    <sheetView topLeftCell="F1" workbookViewId="0">
      <selection activeCell="S7" sqref="S7"/>
    </sheetView>
  </sheetViews>
  <sheetFormatPr defaultRowHeight="14.5" x14ac:dyDescent="0.35"/>
  <cols>
    <col min="1" max="1" width="13" bestFit="1" customWidth="1"/>
    <col min="2" max="2" width="14.36328125" bestFit="1" customWidth="1"/>
    <col min="3" max="3" width="11.81640625" bestFit="1" customWidth="1"/>
  </cols>
  <sheetData>
    <row r="1" spans="1:5" ht="23.5" x14ac:dyDescent="0.55000000000000004">
      <c r="C1" s="2"/>
      <c r="E1" s="6" t="s">
        <v>31</v>
      </c>
    </row>
    <row r="3" spans="1:5" x14ac:dyDescent="0.35">
      <c r="A3" s="3" t="s">
        <v>26</v>
      </c>
      <c r="B3" t="s">
        <v>28</v>
      </c>
      <c r="C3" t="s">
        <v>29</v>
      </c>
    </row>
    <row r="4" spans="1:5" x14ac:dyDescent="0.35">
      <c r="A4" s="4" t="s">
        <v>16</v>
      </c>
      <c r="B4">
        <v>16576110</v>
      </c>
      <c r="C4">
        <v>5821989.4899999984</v>
      </c>
    </row>
    <row r="5" spans="1:5" x14ac:dyDescent="0.35">
      <c r="A5" s="4" t="s">
        <v>12</v>
      </c>
      <c r="B5">
        <v>21259177</v>
      </c>
      <c r="C5">
        <v>6697201.5899999999</v>
      </c>
    </row>
    <row r="6" spans="1:5" x14ac:dyDescent="0.35">
      <c r="A6" s="4" t="s">
        <v>9</v>
      </c>
      <c r="B6">
        <v>19196033</v>
      </c>
      <c r="C6">
        <v>5934766.4799999995</v>
      </c>
    </row>
    <row r="7" spans="1:5" x14ac:dyDescent="0.35">
      <c r="A7" s="4" t="s">
        <v>27</v>
      </c>
      <c r="B7">
        <v>57031320</v>
      </c>
      <c r="C7">
        <v>18453957.559999999</v>
      </c>
    </row>
    <row r="12" spans="1:5" x14ac:dyDescent="0.35">
      <c r="B12" t="s">
        <v>47</v>
      </c>
    </row>
    <row r="13" spans="1:5" x14ac:dyDescent="0.35">
      <c r="A13" s="20" t="s">
        <v>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B8D9-F5B1-4AD5-9F34-57A7E6C0F9E3}">
  <dimension ref="A2:P16"/>
  <sheetViews>
    <sheetView tabSelected="1" workbookViewId="0">
      <selection activeCell="L18" sqref="L18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2" spans="1:16" ht="23.5" x14ac:dyDescent="0.55000000000000004">
      <c r="E2" s="6" t="s">
        <v>34</v>
      </c>
    </row>
    <row r="3" spans="1:16" x14ac:dyDescent="0.35">
      <c r="A3" s="3" t="s">
        <v>26</v>
      </c>
      <c r="B3" t="s">
        <v>28</v>
      </c>
      <c r="M3" s="21" t="s">
        <v>52</v>
      </c>
    </row>
    <row r="4" spans="1:16" x14ac:dyDescent="0.35">
      <c r="A4" s="4" t="s">
        <v>35</v>
      </c>
      <c r="B4">
        <v>5702801</v>
      </c>
      <c r="M4" s="19"/>
    </row>
    <row r="5" spans="1:16" x14ac:dyDescent="0.35">
      <c r="A5" s="4" t="s">
        <v>36</v>
      </c>
      <c r="B5">
        <v>5823253</v>
      </c>
      <c r="M5" s="19" t="s">
        <v>53</v>
      </c>
    </row>
    <row r="6" spans="1:16" x14ac:dyDescent="0.35">
      <c r="A6" s="4" t="s">
        <v>37</v>
      </c>
      <c r="B6">
        <v>2712858</v>
      </c>
      <c r="M6" s="19"/>
    </row>
    <row r="7" spans="1:16" x14ac:dyDescent="0.35">
      <c r="A7" s="4" t="s">
        <v>38</v>
      </c>
      <c r="B7">
        <v>4769531</v>
      </c>
      <c r="M7" s="19" t="s">
        <v>54</v>
      </c>
    </row>
    <row r="8" spans="1:16" x14ac:dyDescent="0.35">
      <c r="A8" s="4" t="s">
        <v>39</v>
      </c>
      <c r="B8">
        <v>5889054</v>
      </c>
    </row>
    <row r="9" spans="1:16" x14ac:dyDescent="0.35">
      <c r="A9" s="4" t="s">
        <v>40</v>
      </c>
      <c r="B9">
        <v>4085992</v>
      </c>
      <c r="M9" s="21"/>
    </row>
    <row r="10" spans="1:16" x14ac:dyDescent="0.35">
      <c r="A10" s="4" t="s">
        <v>41</v>
      </c>
      <c r="B10">
        <v>3385036</v>
      </c>
      <c r="M10" s="5" t="s">
        <v>56</v>
      </c>
    </row>
    <row r="11" spans="1:16" x14ac:dyDescent="0.35">
      <c r="A11" s="4" t="s">
        <v>42</v>
      </c>
      <c r="B11">
        <v>4278154</v>
      </c>
      <c r="M11" s="19" t="s">
        <v>55</v>
      </c>
    </row>
    <row r="12" spans="1:16" x14ac:dyDescent="0.35">
      <c r="A12" s="4" t="s">
        <v>43</v>
      </c>
      <c r="B12">
        <v>2328754</v>
      </c>
    </row>
    <row r="13" spans="1:16" x14ac:dyDescent="0.35">
      <c r="A13" s="4" t="s">
        <v>44</v>
      </c>
      <c r="B13">
        <v>6660146</v>
      </c>
    </row>
    <row r="14" spans="1:16" x14ac:dyDescent="0.35">
      <c r="A14" s="4" t="s">
        <v>45</v>
      </c>
      <c r="B14">
        <v>6689451</v>
      </c>
    </row>
    <row r="15" spans="1:16" x14ac:dyDescent="0.35">
      <c r="A15" s="4" t="s">
        <v>46</v>
      </c>
      <c r="B15">
        <v>4706290</v>
      </c>
    </row>
    <row r="16" spans="1:16" x14ac:dyDescent="0.35">
      <c r="A16" s="4" t="s">
        <v>27</v>
      </c>
      <c r="B16">
        <v>57031320</v>
      </c>
      <c r="P16" t="s">
        <v>57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F176-3C3D-4CF3-AFD6-E9B1D718A150}">
  <dimension ref="C4:P21"/>
  <sheetViews>
    <sheetView topLeftCell="A2" workbookViewId="0">
      <selection activeCell="J12" sqref="J12"/>
    </sheetView>
  </sheetViews>
  <sheetFormatPr defaultRowHeight="14.5" x14ac:dyDescent="0.35"/>
  <cols>
    <col min="3" max="11" width="10.26953125" customWidth="1"/>
    <col min="12" max="16" width="11.26953125" customWidth="1"/>
  </cols>
  <sheetData>
    <row r="4" spans="3:16" ht="12.5" customHeight="1" x14ac:dyDescent="0.35"/>
    <row r="5" spans="3:16" hidden="1" x14ac:dyDescent="0.35"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</row>
    <row r="6" spans="3:16" ht="17.5" x14ac:dyDescent="0.35">
      <c r="D6" s="22" t="s">
        <v>58</v>
      </c>
    </row>
    <row r="8" spans="3:16" x14ac:dyDescent="0.35">
      <c r="D8" s="5" t="s">
        <v>59</v>
      </c>
    </row>
    <row r="9" spans="3:16" x14ac:dyDescent="0.35">
      <c r="D9" t="s">
        <v>60</v>
      </c>
    </row>
    <row r="11" spans="3:16" x14ac:dyDescent="0.35">
      <c r="D11" s="5" t="s">
        <v>61</v>
      </c>
    </row>
    <row r="12" spans="3:16" x14ac:dyDescent="0.35">
      <c r="D12" t="s">
        <v>62</v>
      </c>
    </row>
    <row r="14" spans="3:16" x14ac:dyDescent="0.35">
      <c r="D14" s="5" t="s">
        <v>63</v>
      </c>
    </row>
    <row r="15" spans="3:16" x14ac:dyDescent="0.35">
      <c r="D15" t="s">
        <v>64</v>
      </c>
    </row>
    <row r="17" spans="4:4" x14ac:dyDescent="0.35">
      <c r="D17" s="5" t="s">
        <v>65</v>
      </c>
    </row>
    <row r="18" spans="4:4" x14ac:dyDescent="0.35">
      <c r="D18" t="s">
        <v>66</v>
      </c>
    </row>
    <row r="20" spans="4:4" x14ac:dyDescent="0.35">
      <c r="D20" s="5" t="s">
        <v>67</v>
      </c>
    </row>
    <row r="21" spans="4:4" x14ac:dyDescent="0.35">
      <c r="D21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Business_Data</vt:lpstr>
      <vt:lpstr>Region Analysis</vt:lpstr>
      <vt:lpstr>Product Category Analysis</vt:lpstr>
      <vt:lpstr>Customer Segment Analysis</vt:lpstr>
      <vt:lpstr>Monthly Revenue Trend</vt:lpstr>
      <vt:lpstr>Key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Vennela</cp:lastModifiedBy>
  <dcterms:created xsi:type="dcterms:W3CDTF">2026-02-27T09:46:10Z</dcterms:created>
  <dcterms:modified xsi:type="dcterms:W3CDTF">2026-03-07T16:33:08Z</dcterms:modified>
</cp:coreProperties>
</file>